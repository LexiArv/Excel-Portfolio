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ch io games\Data Entry Resume\Excel\Car_Inventory\"/>
    </mc:Choice>
  </mc:AlternateContent>
  <xr:revisionPtr revIDLastSave="0" documentId="13_ncr:1_{4D6BE0BB-7A5F-4BAD-BEC0-28A4F49C0B28}" xr6:coauthVersionLast="47" xr6:coauthVersionMax="47" xr10:uidLastSave="{00000000-0000-0000-0000-000000000000}"/>
  <bookViews>
    <workbookView xWindow="-120" yWindow="-120" windowWidth="38640" windowHeight="21840" activeTab="1" xr2:uid="{8A9759CF-EB93-4E06-BB1F-595870479C42}"/>
  </bookViews>
  <sheets>
    <sheet name="Dashboard &amp; Charts" sheetId="2" r:id="rId1"/>
    <sheet name="car inventory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1" i="1"/>
  <c r="M30" i="1"/>
  <c r="M34" i="1"/>
  <c r="M24" i="1"/>
  <c r="M20" i="1"/>
  <c r="M32" i="1"/>
  <c r="M27" i="1"/>
  <c r="M29" i="1"/>
  <c r="M49" i="1"/>
  <c r="M40" i="1"/>
  <c r="M52" i="1"/>
  <c r="M42" i="1"/>
  <c r="M48" i="1"/>
  <c r="M50" i="1"/>
  <c r="M36" i="1"/>
  <c r="M9" i="1"/>
  <c r="M7" i="1"/>
  <c r="M2" i="1"/>
  <c r="M3" i="1"/>
  <c r="M4" i="1"/>
  <c r="M14" i="1"/>
  <c r="M15" i="1"/>
  <c r="M18" i="1"/>
  <c r="M6" i="1"/>
  <c r="M46" i="1"/>
  <c r="M28" i="1"/>
  <c r="M44" i="1"/>
  <c r="M8" i="1"/>
  <c r="M16" i="1"/>
  <c r="M47" i="1"/>
  <c r="M31" i="1"/>
  <c r="M33" i="1"/>
  <c r="M39" i="1"/>
  <c r="M51" i="1"/>
  <c r="M13" i="1"/>
  <c r="M19" i="1"/>
  <c r="M23" i="1"/>
  <c r="M17" i="1"/>
  <c r="M53" i="1"/>
  <c r="M12" i="1"/>
  <c r="M26" i="1"/>
  <c r="M38" i="1"/>
  <c r="M11" i="1"/>
  <c r="M10" i="1"/>
  <c r="M5" i="1"/>
  <c r="M22" i="1"/>
  <c r="M37" i="1"/>
  <c r="M43" i="1"/>
  <c r="M45" i="1"/>
  <c r="M41" i="1"/>
  <c r="M35" i="1"/>
  <c r="G46" i="1"/>
  <c r="I46" i="1" s="1"/>
  <c r="F25" i="1"/>
  <c r="G25" i="1" s="1"/>
  <c r="I25" i="1" s="1"/>
  <c r="F21" i="1"/>
  <c r="G21" i="1" s="1"/>
  <c r="I21" i="1" s="1"/>
  <c r="F30" i="1"/>
  <c r="G30" i="1" s="1"/>
  <c r="I30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9" i="1"/>
  <c r="G29" i="1" s="1"/>
  <c r="I29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F9" i="1"/>
  <c r="G9" i="1" s="1"/>
  <c r="I9" i="1" s="1"/>
  <c r="F7" i="1"/>
  <c r="G7" i="1" s="1"/>
  <c r="I7" i="1" s="1"/>
  <c r="F2" i="1"/>
  <c r="G2" i="1" s="1"/>
  <c r="I2" i="1" s="1"/>
  <c r="F3" i="1"/>
  <c r="G3" i="1" s="1"/>
  <c r="I3" i="1" s="1"/>
  <c r="F4" i="1"/>
  <c r="G4" i="1" s="1"/>
  <c r="I4" i="1" s="1"/>
  <c r="F14" i="1"/>
  <c r="G14" i="1" s="1"/>
  <c r="I14" i="1" s="1"/>
  <c r="F15" i="1"/>
  <c r="G15" i="1" s="1"/>
  <c r="I15" i="1" s="1"/>
  <c r="F18" i="1"/>
  <c r="G18" i="1" s="1"/>
  <c r="I18" i="1" s="1"/>
  <c r="F6" i="1"/>
  <c r="G6" i="1" s="1"/>
  <c r="I6" i="1" s="1"/>
  <c r="F46" i="1"/>
  <c r="F28" i="1"/>
  <c r="G28" i="1" s="1"/>
  <c r="I28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1" i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10" i="1"/>
  <c r="G10" i="1" s="1"/>
  <c r="I10" i="1" s="1"/>
  <c r="F5" i="1"/>
  <c r="G5" i="1" s="1"/>
  <c r="I5" i="1" s="1"/>
  <c r="F22" i="1"/>
  <c r="G22" i="1" s="1"/>
  <c r="I22" i="1" s="1"/>
  <c r="F37" i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E30" i="1"/>
  <c r="D25" i="1"/>
  <c r="E25" i="1" s="1"/>
  <c r="D21" i="1"/>
  <c r="E21" i="1" s="1"/>
  <c r="D30" i="1"/>
  <c r="D34" i="1"/>
  <c r="E34" i="1" s="1"/>
  <c r="D24" i="1"/>
  <c r="E24" i="1" s="1"/>
  <c r="D20" i="1"/>
  <c r="E20" i="1" s="1"/>
  <c r="D32" i="1"/>
  <c r="E32" i="1" s="1"/>
  <c r="D27" i="1"/>
  <c r="E27" i="1" s="1"/>
  <c r="D29" i="1"/>
  <c r="E29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D36" i="1"/>
  <c r="E36" i="1" s="1"/>
  <c r="D9" i="1"/>
  <c r="E9" i="1" s="1"/>
  <c r="D7" i="1"/>
  <c r="E7" i="1" s="1"/>
  <c r="D2" i="1"/>
  <c r="E2" i="1" s="1"/>
  <c r="D3" i="1"/>
  <c r="E3" i="1" s="1"/>
  <c r="D4" i="1"/>
  <c r="E4" i="1" s="1"/>
  <c r="D14" i="1"/>
  <c r="E14" i="1" s="1"/>
  <c r="D15" i="1"/>
  <c r="E15" i="1" s="1"/>
  <c r="D18" i="1"/>
  <c r="E18" i="1" s="1"/>
  <c r="D6" i="1"/>
  <c r="E6" i="1" s="1"/>
  <c r="D46" i="1"/>
  <c r="E46" i="1" s="1"/>
  <c r="D28" i="1"/>
  <c r="E28" i="1" s="1"/>
  <c r="D44" i="1"/>
  <c r="E44" i="1" s="1"/>
  <c r="D8" i="1"/>
  <c r="E8" i="1" s="1"/>
  <c r="D16" i="1"/>
  <c r="E16" i="1" s="1"/>
  <c r="D47" i="1"/>
  <c r="E47" i="1" s="1"/>
  <c r="D31" i="1"/>
  <c r="E31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17" i="1"/>
  <c r="E17" i="1" s="1"/>
  <c r="D53" i="1"/>
  <c r="E53" i="1" s="1"/>
  <c r="D12" i="1"/>
  <c r="E12" i="1" s="1"/>
  <c r="D26" i="1"/>
  <c r="E26" i="1" s="1"/>
  <c r="D38" i="1"/>
  <c r="E38" i="1" s="1"/>
  <c r="D11" i="1"/>
  <c r="E11" i="1" s="1"/>
  <c r="D10" i="1"/>
  <c r="E10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E35" i="1" s="1"/>
  <c r="B25" i="1"/>
  <c r="C25" i="1" s="1"/>
  <c r="B21" i="1"/>
  <c r="C21" i="1" s="1"/>
  <c r="B30" i="1"/>
  <c r="C30" i="1" s="1"/>
  <c r="B34" i="1"/>
  <c r="C34" i="1" s="1"/>
  <c r="B24" i="1"/>
  <c r="C24" i="1" s="1"/>
  <c r="B20" i="1"/>
  <c r="C20" i="1" s="1"/>
  <c r="B32" i="1"/>
  <c r="C32" i="1" s="1"/>
  <c r="B27" i="1"/>
  <c r="C27" i="1" s="1"/>
  <c r="B29" i="1"/>
  <c r="C29" i="1" s="1"/>
  <c r="B49" i="1"/>
  <c r="C49" i="1" s="1"/>
  <c r="B40" i="1"/>
  <c r="C40" i="1" s="1"/>
  <c r="B52" i="1"/>
  <c r="C52" i="1" s="1"/>
  <c r="B42" i="1"/>
  <c r="C42" i="1" s="1"/>
  <c r="B48" i="1"/>
  <c r="C48" i="1" s="1"/>
  <c r="B50" i="1"/>
  <c r="C50" i="1" s="1"/>
  <c r="B36" i="1"/>
  <c r="C36" i="1" s="1"/>
  <c r="B9" i="1"/>
  <c r="N9" i="1" s="1"/>
  <c r="B7" i="1"/>
  <c r="C7" i="1" s="1"/>
  <c r="B2" i="1"/>
  <c r="C2" i="1" s="1"/>
  <c r="B3" i="1"/>
  <c r="C3" i="1" s="1"/>
  <c r="B4" i="1"/>
  <c r="C4" i="1" s="1"/>
  <c r="B14" i="1"/>
  <c r="C14" i="1" s="1"/>
  <c r="B15" i="1"/>
  <c r="C15" i="1" s="1"/>
  <c r="B18" i="1"/>
  <c r="C18" i="1" s="1"/>
  <c r="B6" i="1"/>
  <c r="C6" i="1" s="1"/>
  <c r="B46" i="1"/>
  <c r="C46" i="1" s="1"/>
  <c r="B28" i="1"/>
  <c r="C28" i="1" s="1"/>
  <c r="B44" i="1"/>
  <c r="C44" i="1" s="1"/>
  <c r="B8" i="1"/>
  <c r="C8" i="1" s="1"/>
  <c r="B16" i="1"/>
  <c r="C16" i="1" s="1"/>
  <c r="B47" i="1"/>
  <c r="C47" i="1" s="1"/>
  <c r="B31" i="1"/>
  <c r="C31" i="1" s="1"/>
  <c r="B33" i="1"/>
  <c r="N33" i="1" s="1"/>
  <c r="B39" i="1"/>
  <c r="C39" i="1" s="1"/>
  <c r="B51" i="1"/>
  <c r="C51" i="1" s="1"/>
  <c r="B13" i="1"/>
  <c r="C13" i="1" s="1"/>
  <c r="B19" i="1"/>
  <c r="C19" i="1" s="1"/>
  <c r="B23" i="1"/>
  <c r="C23" i="1" s="1"/>
  <c r="B17" i="1"/>
  <c r="C17" i="1" s="1"/>
  <c r="B53" i="1"/>
  <c r="C53" i="1" s="1"/>
  <c r="B12" i="1"/>
  <c r="C12" i="1" s="1"/>
  <c r="B26" i="1"/>
  <c r="C26" i="1" s="1"/>
  <c r="B38" i="1"/>
  <c r="C38" i="1" s="1"/>
  <c r="B11" i="1"/>
  <c r="C11" i="1" s="1"/>
  <c r="B10" i="1"/>
  <c r="C10" i="1" s="1"/>
  <c r="B5" i="1"/>
  <c r="C5" i="1" s="1"/>
  <c r="B22" i="1"/>
  <c r="C22" i="1" s="1"/>
  <c r="B37" i="1"/>
  <c r="C37" i="1" s="1"/>
  <c r="B43" i="1"/>
  <c r="C43" i="1" s="1"/>
  <c r="B45" i="1"/>
  <c r="C45" i="1" s="1"/>
  <c r="B41" i="1"/>
  <c r="C41" i="1" s="1"/>
  <c r="B35" i="1"/>
  <c r="C35" i="1" s="1"/>
  <c r="N37" i="1" l="1"/>
  <c r="N31" i="1"/>
  <c r="N36" i="1"/>
  <c r="N22" i="1"/>
  <c r="N47" i="1"/>
  <c r="N50" i="1"/>
  <c r="N5" i="1"/>
  <c r="N16" i="1"/>
  <c r="N48" i="1"/>
  <c r="N10" i="1"/>
  <c r="N8" i="1"/>
  <c r="N42" i="1"/>
  <c r="G37" i="1"/>
  <c r="I37" i="1" s="1"/>
  <c r="G31" i="1"/>
  <c r="I31" i="1" s="1"/>
  <c r="G36" i="1"/>
  <c r="I36" i="1" s="1"/>
  <c r="N11" i="1"/>
  <c r="N44" i="1"/>
  <c r="N52" i="1"/>
  <c r="C33" i="1"/>
  <c r="N38" i="1"/>
  <c r="N28" i="1"/>
  <c r="N40" i="1"/>
  <c r="N26" i="1"/>
  <c r="N46" i="1"/>
  <c r="N49" i="1"/>
  <c r="C9" i="1"/>
  <c r="N12" i="1"/>
  <c r="N6" i="1"/>
  <c r="N29" i="1"/>
  <c r="N53" i="1"/>
  <c r="N18" i="1"/>
  <c r="N27" i="1"/>
  <c r="N17" i="1"/>
  <c r="N15" i="1"/>
  <c r="N32" i="1"/>
  <c r="N23" i="1"/>
  <c r="N14" i="1"/>
  <c r="N20" i="1"/>
  <c r="N19" i="1"/>
  <c r="N4" i="1"/>
  <c r="N24" i="1"/>
  <c r="N35" i="1"/>
  <c r="N13" i="1"/>
  <c r="N3" i="1"/>
  <c r="N34" i="1"/>
  <c r="N41" i="1"/>
  <c r="N51" i="1"/>
  <c r="N2" i="1"/>
  <c r="N30" i="1"/>
  <c r="N45" i="1"/>
  <c r="N39" i="1"/>
  <c r="N7" i="1"/>
  <c r="N21" i="1"/>
  <c r="N43" i="1"/>
  <c r="N25" i="1"/>
</calcChain>
</file>

<file path=xl/sharedStrings.xml><?xml version="1.0" encoding="utf-8"?>
<sst xmlns="http://schemas.openxmlformats.org/spreadsheetml/2006/main" count="225" uniqueCount="126">
  <si>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</si>
  <si>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</si>
  <si>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</si>
  <si>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</si>
  <si>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</si>
  <si>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</si>
  <si>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</si>
  <si>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</si>
  <si>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</si>
  <si>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</si>
  <si>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</si>
  <si>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</si>
  <si>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</si>
  <si>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</si>
  <si>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</si>
  <si>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</si>
  <si>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</si>
  <si>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</si>
  <si>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</si>
  <si>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</si>
  <si>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</si>
  <si>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</si>
  <si>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</si>
  <si>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</si>
  <si>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</si>
  <si>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</si>
  <si>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</si>
  <si>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</si>
  <si>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</si>
  <si>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</si>
  <si>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</si>
  <si>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</si>
  <si>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</si>
  <si>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</si>
  <si>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</si>
  <si>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</si>
  <si>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</si>
  <si>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</si>
  <si>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</si>
  <si>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</si>
  <si>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</si>
  <si>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</si>
  <si>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</si>
  <si>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</si>
  <si>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</si>
  <si>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</si>
  <si>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</si>
  <si>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</si>
  <si>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</si>
  <si>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</si>
  <si>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</si>
  <si>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</si>
  <si>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</si>
  <si>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</si>
  <si>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</si>
  <si>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</si>
  <si>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</si>
  <si>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</si>
  <si>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</si>
  <si>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</si>
  <si>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</si>
  <si>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</si>
  <si>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</si>
  <si>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</si>
  <si>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</si>
  <si>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</si>
  <si>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</si>
  <si>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</si>
  <si>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</si>
  <si>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</si>
  <si>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</si>
  <si>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</si>
  <si>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</si>
  <si>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</si>
  <si>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</si>
  <si>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</si>
  <si>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</si>
  <si>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</si>
  <si>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</si>
  <si>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</si>
  <si>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</si>
  <si>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</si>
  <si>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</si>
  <si>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</si>
  <si>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</si>
  <si>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</si>
  <si>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</si>
  <si>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</si>
  <si>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</si>
  <si>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</si>
  <si>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</si>
  <si>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Toyota</t>
  </si>
  <si>
    <t>Honda</t>
  </si>
  <si>
    <t>General Motors</t>
  </si>
  <si>
    <t>Hyundai</t>
  </si>
  <si>
    <t>Ford</t>
  </si>
  <si>
    <t>CAM</t>
  </si>
  <si>
    <t>Camry</t>
  </si>
  <si>
    <t>ELA</t>
  </si>
  <si>
    <t>Elantra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</si>
  <si>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</si>
  <si>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</si>
  <si>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</si>
  <si>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</si>
  <si>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</si>
  <si>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</si>
  <si>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</si>
  <si>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</si>
  <si>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</si>
  <si>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Focus</t>
  </si>
  <si>
    <t>Camero</t>
  </si>
  <si>
    <t>Corolla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</si>
  <si>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</si>
  <si>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</si>
  <si>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</si>
  <si>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</si>
  <si>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</si>
  <si>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</si>
  <si>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</si>
  <si>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</si>
  <si>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</si>
  <si>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</si>
  <si>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Lookup Table</t>
  </si>
  <si>
    <t>Grand Total</t>
  </si>
  <si>
    <t>Sum of Miles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</si>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</sst>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36" borderId="0" xfId="0" applyFont="1" applyFill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vertical="center" wrapText="1"/>
    </xf>
    <xf numFmtId="0" fontId="18" fillId="35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19" fillId="33" borderId="0" xfId="0" applyFont="1" applyFill="1" applyAlignment="1">
      <alignment vertical="center" wrapText="1"/>
    </xf>
    <xf numFmtId="0" fontId="19" fillId="35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 Inventory Example.xlsx]Dashboard &amp; Charts!PivotTable1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&amp; Charts'!$B$3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'Dashboard &amp; Charts'!$A$4:$A$21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'Dashboard &amp; Charts'!$B$4:$B$21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C-482D-95A7-CD9D55146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18796272"/>
        <c:axId val="1918796752"/>
      </c:barChart>
      <c:catAx>
        <c:axId val="191879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96752"/>
        <c:crosses val="autoZero"/>
        <c:auto val="1"/>
        <c:lblAlgn val="ctr"/>
        <c:lblOffset val="100"/>
        <c:noMultiLvlLbl val="0"/>
      </c:catAx>
      <c:valAx>
        <c:axId val="191879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9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inventory'!$G$2:$G$70</c:f>
              <c:numCache>
                <c:formatCode>General</c:formatCode>
                <c:ptCount val="69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17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13</c:v>
                </c:pt>
                <c:pt idx="28">
                  <c:v>18</c:v>
                </c:pt>
                <c:pt idx="29">
                  <c:v>16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inventory'!$H$2:$H$70</c:f>
              <c:numCache>
                <c:formatCode>General</c:formatCode>
                <c:ptCount val="69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83162.7</c:v>
                </c:pt>
                <c:pt idx="8">
                  <c:v>77243.100000000006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67829.100000000006</c:v>
                </c:pt>
                <c:pt idx="13">
                  <c:v>48114.2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29601.9</c:v>
                </c:pt>
                <c:pt idx="27">
                  <c:v>27534.799999999999</c:v>
                </c:pt>
                <c:pt idx="28">
                  <c:v>37558.800000000003</c:v>
                </c:pt>
                <c:pt idx="29">
                  <c:v>33477.199999999997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1-4693-8AF2-D7C329FF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806832"/>
        <c:axId val="1918807792"/>
      </c:scatterChart>
      <c:valAx>
        <c:axId val="1918806832"/>
        <c:scaling>
          <c:orientation val="minMax"/>
          <c:max val="30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07792"/>
        <c:crosses val="autoZero"/>
        <c:crossBetween val="midCat"/>
      </c:valAx>
      <c:valAx>
        <c:axId val="19188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0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0</xdr:row>
      <xdr:rowOff>188119</xdr:rowOff>
    </xdr:from>
    <xdr:to>
      <xdr:col>13</xdr:col>
      <xdr:colOff>23812</xdr:colOff>
      <xdr:row>15</xdr:row>
      <xdr:rowOff>73819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A964B-DA5E-711D-BA4B-CAAAC0A11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15</xdr:row>
      <xdr:rowOff>184546</xdr:rowOff>
    </xdr:from>
    <xdr:to>
      <xdr:col>13</xdr:col>
      <xdr:colOff>28294</xdr:colOff>
      <xdr:row>31</xdr:row>
      <xdr:rowOff>41671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80201-BE1A-4833-A684-5FCF9AF84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i" refreshedDate="46173.040914004632" createdVersion="8" refreshedVersion="8" minRefreshableVersion="3" recordCount="70" xr:uid="{63598939-3B55-46CF-9628-19F3487F96D7}">
  <cacheSource type="worksheet">
    <worksheetSource ref="A1:N1048576" sheet="car inventory"/>
  </cacheSource>
  <cacheFields count="14">
    <cacheField name="Car ID" numFmtId="0">
      <sharedItems containsBlank="1"/>
    </cacheField>
    <cacheField name="Make" numFmtId="0">
      <sharedItems containsBlank="1"/>
    </cacheField>
    <cacheField name="Make (Full Name)" numFmtId="0">
      <sharedItems containsBlank="1"/>
    </cacheField>
    <cacheField name="Model" numFmtId="0">
      <sharedItems containsBlank="1"/>
    </cacheField>
    <cacheField name="Model (Full Name)" numFmtId="0">
      <sharedItems containsBlank="1"/>
    </cacheField>
    <cacheField name="Manufacture Year" numFmtId="0">
      <sharedItems containsBlank="1"/>
    </cacheField>
    <cacheField name="Age" numFmtId="0">
      <sharedItems containsString="0" containsBlank="1" containsNumber="1" containsInteger="1" minValue="12" maxValue="30"/>
    </cacheField>
    <cacheField name="Miles" numFmtId="0">
      <sharedItems containsString="0" containsBlank="1" containsNumber="1" minValue="3708.1" maxValue="114660.6"/>
    </cacheField>
    <cacheField name="Miles / Year" numFmtId="0">
      <sharedItems containsString="0" containsBlank="1" containsNumber="1" minValue="296.64799999999997" maxValue="3759.3639344262297"/>
    </cacheField>
    <cacheField name="Color" numFmtId="0">
      <sharedItems containsBlank="1"/>
    </cacheField>
    <cacheField name="Driver" numFmtId="0">
      <sharedItems containsBlank="1" count="18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  <m/>
      </sharedItems>
    </cacheField>
    <cacheField name="Warantee Miles" numFmtId="0">
      <sharedItems containsString="0" containsBlank="1" containsNumber="1" containsInteger="1" minValue="50000" maxValue="100000"/>
    </cacheField>
    <cacheField name="Covered?" numFmtId="0">
      <sharedItems containsBlank="1"/>
    </cacheField>
    <cacheField name="New Car 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FD06MTG001"/>
    <s v="FD"/>
    <s v="Ford"/>
    <s v="MTG"/>
    <s v="Mustang"/>
    <s v="06"/>
    <n v="20"/>
    <n v="40326.800000000003"/>
    <n v="1967.1609756097562"/>
    <s v="Black"/>
    <x v="0"/>
    <n v="50000"/>
    <s v="Yes"/>
    <s v="FD06MTGBLA001"/>
  </r>
  <r>
    <s v="FD06MTG002"/>
    <s v="FD"/>
    <s v="Ford"/>
    <s v="MTG"/>
    <s v="Mustang"/>
    <s v="06"/>
    <n v="20"/>
    <n v="44974.8"/>
    <n v="2193.8926829268294"/>
    <s v="White"/>
    <x v="1"/>
    <n v="50000"/>
    <s v="Yes"/>
    <s v="FD06MTGWHI002"/>
  </r>
  <r>
    <s v="FD08MTG003"/>
    <s v="FD"/>
    <s v="Ford"/>
    <s v="MTG"/>
    <s v="Mustang"/>
    <s v="08"/>
    <n v="18"/>
    <n v="44946.5"/>
    <n v="2429.5405405405404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Yes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Yes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Yes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Yes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Yes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Yes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Yes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Yes"/>
    <s v="FD13FCSBLA013"/>
  </r>
  <r>
    <s v="GM09CMR014"/>
    <s v="GM"/>
    <s v="General Motors"/>
    <s v="CMR"/>
    <s v="Camero"/>
    <s v="09"/>
    <n v="17"/>
    <n v="28464.799999999999"/>
    <n v="1626.56"/>
    <s v="White"/>
    <x v="10"/>
    <n v="100000"/>
    <s v="Yes"/>
    <s v="GM09CMRWHI014"/>
  </r>
  <r>
    <s v="GM12CMR015"/>
    <s v="GM"/>
    <s v="General Motors"/>
    <s v="CMR"/>
    <s v="Camero"/>
    <s v="12"/>
    <n v="14"/>
    <n v="19421.099999999999"/>
    <n v="1339.3862068965516"/>
    <s v="Black"/>
    <x v="11"/>
    <n v="100000"/>
    <s v="Yes"/>
    <s v="GM12CMRBLA015"/>
  </r>
  <r>
    <s v="GM14CMR016"/>
    <s v="GM"/>
    <s v="General Motors"/>
    <s v="CMR"/>
    <s v="Camero"/>
    <s v="14"/>
    <n v="12"/>
    <n v="14289.6"/>
    <n v="1143.1680000000001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887.5393939393941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17.9894736842102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044.7471698113209"/>
    <s v="Blue"/>
    <x v="8"/>
    <n v="100000"/>
    <s v="Yes"/>
    <s v="GM00SLVBLU019"/>
  </r>
  <r>
    <s v="TY96CAM020"/>
    <s v="TY"/>
    <s v="Toyota"/>
    <s v="CAM"/>
    <s v="Camry"/>
    <s v="96"/>
    <n v="30"/>
    <n v="114660.6"/>
    <n v="3759.3639344262297"/>
    <s v="Green"/>
    <x v="14"/>
    <n v="100000"/>
    <s v="Not Covered"/>
    <s v="TY96CAMGRE020"/>
  </r>
  <r>
    <s v="TY98CAM021"/>
    <s v="TY"/>
    <s v="Toyota"/>
    <s v="CAM"/>
    <s v="Camry"/>
    <s v="98"/>
    <n v="28"/>
    <n v="93382.6"/>
    <n v="3276.582456140351"/>
    <s v="Black"/>
    <x v="15"/>
    <n v="100000"/>
    <s v="Yes"/>
    <s v="TY98CAMBLA021"/>
  </r>
  <r>
    <s v="TY00CAM022"/>
    <s v="TY"/>
    <s v="Toyota"/>
    <s v="CAM"/>
    <s v="Camry"/>
    <s v="00"/>
    <n v="26"/>
    <n v="85928"/>
    <n v="3242.566037735849"/>
    <s v="Green"/>
    <x v="4"/>
    <n v="100000"/>
    <s v="Yes"/>
    <s v="TY00CAMGRE022"/>
  </r>
  <r>
    <s v="TY02CAM023"/>
    <s v="TY"/>
    <s v="Toyota"/>
    <s v="CAM"/>
    <s v="Camry"/>
    <s v="02"/>
    <n v="24"/>
    <n v="67829.100000000006"/>
    <n v="2768.534693877551"/>
    <s v="Black"/>
    <x v="0"/>
    <n v="100000"/>
    <s v="Yes"/>
    <s v="TY02CAMBLA023"/>
  </r>
  <r>
    <s v="TY09CAM024"/>
    <s v="TY"/>
    <s v="Toyota"/>
    <s v="CAM"/>
    <s v="Camry"/>
    <s v="09"/>
    <n v="17"/>
    <n v="48114.2"/>
    <n v="2749.3828571428571"/>
    <s v="White"/>
    <x v="5"/>
    <n v="100000"/>
    <s v="Yes"/>
    <s v="TY09CAMWHI024"/>
  </r>
  <r>
    <s v="TY02COR025"/>
    <s v="TY"/>
    <s v="Toyota"/>
    <s v="COR"/>
    <s v="Corolla"/>
    <s v="02"/>
    <n v="24"/>
    <n v="64467.4"/>
    <n v="2631.3224489795921"/>
    <s v="Red"/>
    <x v="16"/>
    <n v="100000"/>
    <s v="Yes"/>
    <s v="TY02CORRED025"/>
  </r>
  <r>
    <s v="TY03COR026"/>
    <s v="TY"/>
    <s v="Toyota"/>
    <s v="COR"/>
    <s v="Corolla"/>
    <s v="03"/>
    <n v="23"/>
    <n v="73444.399999999994"/>
    <n v="3125.2936170212765"/>
    <s v="Black"/>
    <x v="16"/>
    <n v="100000"/>
    <s v="Yes"/>
    <s v="TY03CORBLA026"/>
  </r>
  <r>
    <s v="TY14COR027"/>
    <s v="TY"/>
    <s v="Toyota"/>
    <s v="COR"/>
    <s v="Corolla"/>
    <s v="14"/>
    <n v="12"/>
    <n v="17556.3"/>
    <n v="1404.5039999999999"/>
    <s v="Blue"/>
    <x v="6"/>
    <n v="100000"/>
    <s v="Yes"/>
    <s v="TY14CORBLU027"/>
  </r>
  <r>
    <s v="TY12COR028"/>
    <s v="TY"/>
    <s v="Toyota"/>
    <s v="COR"/>
    <s v="Corolla"/>
    <s v="12"/>
    <n v="14"/>
    <n v="29601.9"/>
    <n v="2041.5103448275863"/>
    <s v="Black"/>
    <x v="10"/>
    <n v="100000"/>
    <s v="Yes"/>
    <s v="TY12CORBLA028"/>
  </r>
  <r>
    <s v="TY12CAM029"/>
    <s v="TY"/>
    <s v="Toyota"/>
    <s v="CAM"/>
    <s v="Camry"/>
    <s v="12"/>
    <n v="14"/>
    <n v="22128.2"/>
    <n v="1526.0827586206897"/>
    <s v="Blue"/>
    <x v="14"/>
    <n v="100000"/>
    <s v="Yes"/>
    <s v="TY12CAMBLU029"/>
  </r>
  <r>
    <s v="HO99CIV030"/>
    <s v="HO"/>
    <s v="Honda"/>
    <s v="CIV"/>
    <s v="Civic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40.8588235294114"/>
    <s v="Blue"/>
    <x v="3"/>
    <n v="75000"/>
    <s v="Yes"/>
    <s v="HO01CIVBLU031"/>
  </r>
  <r>
    <s v="HO10CIV032"/>
    <s v="HO"/>
    <s v="Honda"/>
    <s v="CIV"/>
    <s v="Civic"/>
    <s v="10"/>
    <n v="16"/>
    <n v="22573"/>
    <n v="1368.060606060606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28.921212121212"/>
    <s v="Black"/>
    <x v="15"/>
    <n v="75000"/>
    <s v="Yes"/>
    <s v="HO10CIVBLA033"/>
  </r>
  <r>
    <s v="HO11CIV034"/>
    <s v="HO"/>
    <s v="Honda"/>
    <s v="CIV"/>
    <s v="Civic"/>
    <s v="11"/>
    <n v="15"/>
    <n v="30555.3"/>
    <n v="1971.3096774193548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690.5655172413794"/>
    <s v="Black"/>
    <x v="13"/>
    <n v="75000"/>
    <s v="Yes"/>
    <s v="HO12CIVBLA035"/>
  </r>
  <r>
    <s v="HO13CIV036"/>
    <s v="HO"/>
    <s v="Honda"/>
    <s v="CIV"/>
    <s v="Civic"/>
    <s v="13"/>
    <n v="13"/>
    <n v="13867.6"/>
    <n v="1027.2296296296297"/>
    <s v="Black"/>
    <x v="14"/>
    <n v="75000"/>
    <s v="Yes"/>
    <s v="HO13CIVBLA036"/>
  </r>
  <r>
    <s v="HO05ODY037"/>
    <s v="HO"/>
    <s v="Honda"/>
    <s v="ODY"/>
    <s v="Odyssey"/>
    <s v="05"/>
    <n v="21"/>
    <n v="60389.5"/>
    <n v="2808.8139534883721"/>
    <s v="White"/>
    <x v="5"/>
    <n v="100000"/>
    <s v="Yes"/>
    <s v="HO05ODYWHI037"/>
  </r>
  <r>
    <s v="HO07ODY038"/>
    <s v="HO"/>
    <s v="Honda"/>
    <s v="ODY"/>
    <s v="Odyssey"/>
    <s v="07"/>
    <n v="19"/>
    <n v="50854.1"/>
    <n v="2607.9025641025642"/>
    <s v="Black"/>
    <x v="15"/>
    <n v="100000"/>
    <s v="Yes"/>
    <s v="HO07ODYBLA038"/>
  </r>
  <r>
    <s v="HO08ODY039"/>
    <s v="HO"/>
    <s v="Honda"/>
    <s v="ODY"/>
    <s v="Odyssey"/>
    <s v="08"/>
    <n v="18"/>
    <n v="42504.6"/>
    <n v="2297.5459459459457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692.5058823529412"/>
    <s v="Black"/>
    <x v="0"/>
    <n v="100000"/>
    <s v="Yes"/>
    <s v="HO01ODYBLA040"/>
  </r>
  <r>
    <s v="HO14ODY041"/>
    <s v="HO"/>
    <s v="Honda"/>
    <s v="ODY"/>
    <s v="Odyssey"/>
    <s v="14"/>
    <n v="12"/>
    <n v="3708.1"/>
    <n v="296.64799999999997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Yes"/>
    <s v="CR04CARRED048"/>
  </r>
  <r>
    <s v="HY11ELA049"/>
    <s v="HY"/>
    <s v="Hyundai"/>
    <s v="ELA"/>
    <s v="Elantra"/>
    <s v="11"/>
    <n v="15"/>
    <n v="29102.3"/>
    <n v="1877.5677419354838"/>
    <s v="Black"/>
    <x v="12"/>
    <n v="100000"/>
    <s v="Yes"/>
    <s v="HY11ELABLA049"/>
  </r>
  <r>
    <s v="HY12ELA050"/>
    <s v="HY"/>
    <s v="Hyundai"/>
    <s v="ELA"/>
    <s v="Elantra"/>
    <s v="12"/>
    <n v="14"/>
    <n v="22282"/>
    <n v="1536.6896551724137"/>
    <s v="Blue"/>
    <x v="1"/>
    <n v="100000"/>
    <s v="Yes"/>
    <s v="HY12ELABLU050"/>
  </r>
  <r>
    <s v="HY13ELA051"/>
    <s v="HY"/>
    <s v="Hyundai"/>
    <s v="ELA"/>
    <s v="Elantra"/>
    <s v="13"/>
    <n v="13"/>
    <n v="20223.900000000001"/>
    <n v="1498.0666666666668"/>
    <s v="Black"/>
    <x v="6"/>
    <n v="100000"/>
    <s v="Yes"/>
    <s v="HY13ELABLA051"/>
  </r>
  <r>
    <s v="HY13ELA052"/>
    <s v="HY"/>
    <s v="Hyundai"/>
    <s v="ELA"/>
    <s v="Elantra"/>
    <s v="13"/>
    <n v="13"/>
    <n v="22188.5"/>
    <n v="1643.5925925925926"/>
    <s v="Blue"/>
    <x v="4"/>
    <n v="100000"/>
    <s v="Yes"/>
    <s v="HY13ELABLU052"/>
  </r>
  <r>
    <m/>
    <m/>
    <m/>
    <m/>
    <m/>
    <m/>
    <m/>
    <m/>
    <m/>
    <m/>
    <x v="17"/>
    <m/>
    <m/>
    <m/>
  </r>
  <r>
    <s v="Lookup Table"/>
    <s v="CR"/>
    <s v="Chrysler"/>
    <s v="CAM"/>
    <s v="Camry"/>
    <m/>
    <m/>
    <m/>
    <m/>
    <m/>
    <x v="17"/>
    <m/>
    <m/>
    <m/>
  </r>
  <r>
    <m/>
    <s v="FD"/>
    <s v="Ford"/>
    <s v="CAR"/>
    <s v="Caravan"/>
    <m/>
    <m/>
    <m/>
    <m/>
    <m/>
    <x v="17"/>
    <m/>
    <m/>
    <m/>
  </r>
  <r>
    <m/>
    <s v="GM"/>
    <s v="General Motors"/>
    <s v="CIV"/>
    <s v="Civic"/>
    <m/>
    <m/>
    <m/>
    <m/>
    <m/>
    <x v="17"/>
    <m/>
    <m/>
    <m/>
  </r>
  <r>
    <m/>
    <s v="HO"/>
    <s v="Honda"/>
    <s v="CMR"/>
    <s v="Camero"/>
    <m/>
    <m/>
    <m/>
    <m/>
    <m/>
    <x v="17"/>
    <m/>
    <m/>
    <m/>
  </r>
  <r>
    <m/>
    <s v="HY"/>
    <s v="Hyundai"/>
    <s v="COR"/>
    <s v="Corolla"/>
    <m/>
    <m/>
    <m/>
    <m/>
    <m/>
    <x v="17"/>
    <m/>
    <m/>
    <m/>
  </r>
  <r>
    <m/>
    <s v="TY"/>
    <s v="Toyota"/>
    <s v="ELA"/>
    <s v="Elantra"/>
    <m/>
    <m/>
    <m/>
    <m/>
    <m/>
    <x v="17"/>
    <m/>
    <m/>
    <m/>
  </r>
  <r>
    <m/>
    <m/>
    <m/>
    <s v="FCS"/>
    <s v="Focus"/>
    <m/>
    <m/>
    <m/>
    <m/>
    <m/>
    <x v="17"/>
    <m/>
    <m/>
    <m/>
  </r>
  <r>
    <m/>
    <m/>
    <m/>
    <s v="MTG"/>
    <s v="Mustang"/>
    <m/>
    <m/>
    <m/>
    <m/>
    <m/>
    <x v="17"/>
    <m/>
    <m/>
    <m/>
  </r>
  <r>
    <m/>
    <m/>
    <m/>
    <s v="ODY"/>
    <s v="Odyssey"/>
    <m/>
    <m/>
    <m/>
    <m/>
    <m/>
    <x v="17"/>
    <m/>
    <m/>
    <m/>
  </r>
  <r>
    <m/>
    <m/>
    <m/>
    <s v="PTC"/>
    <s v="PT Cruiser"/>
    <m/>
    <m/>
    <m/>
    <m/>
    <m/>
    <x v="17"/>
    <m/>
    <m/>
    <m/>
  </r>
  <r>
    <m/>
    <m/>
    <m/>
    <s v="SLV"/>
    <s v="Silverado"/>
    <m/>
    <m/>
    <m/>
    <m/>
    <m/>
    <x v="17"/>
    <m/>
    <m/>
    <m/>
  </r>
  <r>
    <m/>
    <m/>
    <m/>
    <m/>
    <m/>
    <m/>
    <m/>
    <m/>
    <m/>
    <m/>
    <x v="17"/>
    <m/>
    <m/>
    <m/>
  </r>
  <r>
    <m/>
    <m/>
    <m/>
    <m/>
    <m/>
    <m/>
    <m/>
    <m/>
    <m/>
    <m/>
    <x v="17"/>
    <m/>
    <m/>
    <m/>
  </r>
  <r>
    <m/>
    <m/>
    <m/>
    <m/>
    <m/>
    <m/>
    <m/>
    <m/>
    <m/>
    <m/>
    <x v="17"/>
    <m/>
    <m/>
    <m/>
  </r>
  <r>
    <m/>
    <m/>
    <m/>
    <m/>
    <m/>
    <m/>
    <m/>
    <m/>
    <m/>
    <m/>
    <x v="17"/>
    <m/>
    <m/>
    <m/>
  </r>
  <r>
    <m/>
    <m/>
    <m/>
    <m/>
    <m/>
    <m/>
    <m/>
    <m/>
    <m/>
    <m/>
    <x v="17"/>
    <m/>
    <m/>
    <m/>
  </r>
  <r>
    <m/>
    <m/>
    <m/>
    <m/>
    <m/>
    <m/>
    <m/>
    <m/>
    <m/>
    <m/>
    <x v="1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34F7B-0992-4E89-9EE8-F0C13BE78D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rivers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9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h="1" x="1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7D3A-4740-49C4-9BF5-DE12B2DA243D}">
  <sheetPr>
    <pageSetUpPr fitToPage="1"/>
  </sheetPr>
  <dimension ref="A3:B21"/>
  <sheetViews>
    <sheetView showGridLines="0" zoomScale="160" zoomScaleNormal="160" workbookViewId="0">
      <selection activeCell="B27" sqref="B27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125</v>
      </c>
      <c r="B3" t="s">
        <v>124</v>
      </c>
    </row>
    <row r="4" spans="1:2" x14ac:dyDescent="0.25">
      <c r="A4" s="3" t="s">
        <v>41</v>
      </c>
      <c r="B4">
        <v>144647.69999999998</v>
      </c>
    </row>
    <row r="5" spans="1:2" x14ac:dyDescent="0.25">
      <c r="A5" s="3" t="s">
        <v>50</v>
      </c>
      <c r="B5">
        <v>150656.40000000002</v>
      </c>
    </row>
    <row r="6" spans="1:2" x14ac:dyDescent="0.25">
      <c r="A6" s="3" t="s">
        <v>26</v>
      </c>
      <c r="B6">
        <v>154427.9</v>
      </c>
    </row>
    <row r="7" spans="1:2" x14ac:dyDescent="0.25">
      <c r="A7" s="3" t="s">
        <v>58</v>
      </c>
      <c r="B7">
        <v>179986</v>
      </c>
    </row>
    <row r="8" spans="1:2" x14ac:dyDescent="0.25">
      <c r="A8" s="3" t="s">
        <v>29</v>
      </c>
      <c r="B8">
        <v>143640.70000000001</v>
      </c>
    </row>
    <row r="9" spans="1:2" x14ac:dyDescent="0.25">
      <c r="A9" s="3" t="s">
        <v>45</v>
      </c>
      <c r="B9">
        <v>135078.20000000001</v>
      </c>
    </row>
    <row r="10" spans="1:2" x14ac:dyDescent="0.25">
      <c r="A10" s="3" t="s">
        <v>24</v>
      </c>
      <c r="B10">
        <v>184693.8</v>
      </c>
    </row>
    <row r="11" spans="1:2" x14ac:dyDescent="0.25">
      <c r="A11" s="3" t="s">
        <v>22</v>
      </c>
      <c r="B11">
        <v>127731.3</v>
      </c>
    </row>
    <row r="12" spans="1:2" x14ac:dyDescent="0.25">
      <c r="A12" s="3" t="s">
        <v>19</v>
      </c>
      <c r="B12">
        <v>70964.899999999994</v>
      </c>
    </row>
    <row r="13" spans="1:2" x14ac:dyDescent="0.25">
      <c r="A13" s="3" t="s">
        <v>32</v>
      </c>
      <c r="B13">
        <v>65315</v>
      </c>
    </row>
    <row r="14" spans="1:2" x14ac:dyDescent="0.25">
      <c r="A14" s="3" t="s">
        <v>38</v>
      </c>
      <c r="B14">
        <v>138561.5</v>
      </c>
    </row>
    <row r="15" spans="1:2" x14ac:dyDescent="0.25">
      <c r="A15" s="3" t="s">
        <v>39</v>
      </c>
      <c r="B15">
        <v>141229.4</v>
      </c>
    </row>
    <row r="16" spans="1:2" x14ac:dyDescent="0.25">
      <c r="A16" s="3" t="s">
        <v>16</v>
      </c>
      <c r="B16">
        <v>305432.40000000002</v>
      </c>
    </row>
    <row r="17" spans="1:2" x14ac:dyDescent="0.25">
      <c r="A17" s="3" t="s">
        <v>52</v>
      </c>
      <c r="B17">
        <v>177713.9</v>
      </c>
    </row>
    <row r="18" spans="1:2" x14ac:dyDescent="0.25">
      <c r="A18" s="3" t="s">
        <v>43</v>
      </c>
      <c r="B18">
        <v>65964.899999999994</v>
      </c>
    </row>
    <row r="19" spans="1:2" x14ac:dyDescent="0.25">
      <c r="A19" s="3" t="s">
        <v>36</v>
      </c>
      <c r="B19">
        <v>130601.59999999999</v>
      </c>
    </row>
    <row r="20" spans="1:2" x14ac:dyDescent="0.25">
      <c r="A20" s="3" t="s">
        <v>34</v>
      </c>
      <c r="B20">
        <v>19341.7</v>
      </c>
    </row>
    <row r="21" spans="1:2" x14ac:dyDescent="0.25">
      <c r="A21" s="3" t="s">
        <v>123</v>
      </c>
      <c r="B21">
        <v>2335987.2999999998</v>
      </c>
    </row>
  </sheetData>
  <pageMargins left="0.7" right="0.7" top="0.75" bottom="0.75" header="0.3" footer="0.3"/>
  <pageSetup scale="9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C1F0-357F-451B-ACF2-54B8E5D3717C}">
  <sheetPr>
    <pageSetUpPr fitToPage="1"/>
  </sheetPr>
  <dimension ref="A1:Q72"/>
  <sheetViews>
    <sheetView tabSelected="1" zoomScale="85" zoomScaleNormal="85" workbookViewId="0">
      <selection activeCell="E2" sqref="E2"/>
    </sheetView>
  </sheetViews>
  <sheetFormatPr defaultRowHeight="15" x14ac:dyDescent="0.25"/>
  <cols>
    <col min="1" max="1" width="13.5703125" style="1" bestFit="1" customWidth="1"/>
    <col min="2" max="2" width="6.85546875" style="1" customWidth="1"/>
    <col min="3" max="3" width="15.85546875" style="1" customWidth="1"/>
    <col min="4" max="4" width="6.85546875" style="1" customWidth="1"/>
    <col min="5" max="5" width="16" style="1" customWidth="1"/>
    <col min="6" max="6" width="13.5703125" style="1" customWidth="1"/>
    <col min="7" max="7" width="9" style="1" customWidth="1"/>
    <col min="8" max="8" width="10" style="1" customWidth="1"/>
    <col min="9" max="9" width="12" style="1" customWidth="1"/>
    <col min="10" max="10" width="7.85546875" style="1" customWidth="1"/>
    <col min="11" max="11" width="12.140625" style="1" customWidth="1"/>
    <col min="12" max="12" width="8.28515625" style="1" bestFit="1" customWidth="1"/>
    <col min="13" max="13" width="14.85546875" style="1" customWidth="1"/>
    <col min="14" max="14" width="18.7109375" style="1" customWidth="1"/>
    <col min="16" max="16" width="17.85546875" bestFit="1" customWidth="1"/>
    <col min="17" max="17" width="15.85546875" bestFit="1" customWidth="1"/>
  </cols>
  <sheetData>
    <row r="1" spans="1:17" ht="47.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</row>
    <row r="2" spans="1:17" ht="15.75" x14ac:dyDescent="0.25">
      <c r="A2" s="6" t="s">
        <v>49</v>
      </c>
      <c r="B2" s="6" t="str">
        <f t="shared" ref="B2:B33" si="0">LEFT(A2,2)</f>
        <v>TY</v>
      </c>
      <c r="C2" s="6" t="str">
        <f t="shared" ref="C2:C33" si="1">VLOOKUP(B2,B$55:C$60,2)</f>
        <v>Toyota</v>
      </c>
      <c r="D2" s="6" t="str">
        <f t="shared" ref="D2:D33" si="2">MID(A2,5,3)</f>
        <v>CAM</v>
      </c>
      <c r="E2" s="6" t="str">
        <f t="shared" ref="E2:E33" si="3">VLOOKUP(D2,D$55:E$65,2)</f>
        <v>Camry</v>
      </c>
      <c r="F2" s="7" t="str">
        <f t="shared" ref="F2:F33" si="4">MID(A2,3,2)</f>
        <v>96</v>
      </c>
      <c r="G2" s="6">
        <f t="shared" ref="G2:G33" si="5">IF(26-F2&lt;0,100-F2+26,26-F2)</f>
        <v>30</v>
      </c>
      <c r="H2" s="6">
        <v>114660.6</v>
      </c>
      <c r="I2" s="8">
        <f t="shared" ref="I2:I33" si="6">H2/(G2+0.5)</f>
        <v>3759.3639344262297</v>
      </c>
      <c r="J2" s="6" t="s">
        <v>21</v>
      </c>
      <c r="K2" s="6" t="s">
        <v>50</v>
      </c>
      <c r="L2" s="6">
        <v>100000</v>
      </c>
      <c r="M2" s="6" t="str">
        <f t="shared" ref="M2:M33" si="7">IF(H2&lt;=L2,"Yes","Not Covered")</f>
        <v>Not Covered</v>
      </c>
      <c r="N2" s="6" t="str">
        <f t="shared" ref="N2:N33" si="8">CONCATENATE(B2,F2,D2,UPPER(LEFT(J2,3)),RIGHT(A2,3))</f>
        <v>TY96CAMGRE020</v>
      </c>
      <c r="O2" s="5"/>
      <c r="P2" s="5"/>
      <c r="Q2" s="5"/>
    </row>
    <row r="3" spans="1:17" ht="15.75" x14ac:dyDescent="0.25">
      <c r="A3" s="6" t="s">
        <v>51</v>
      </c>
      <c r="B3" s="6" t="str">
        <f t="shared" si="0"/>
        <v>TY</v>
      </c>
      <c r="C3" s="6" t="str">
        <f t="shared" si="1"/>
        <v>Toyota</v>
      </c>
      <c r="D3" s="6" t="str">
        <f t="shared" si="2"/>
        <v>CAM</v>
      </c>
      <c r="E3" s="6" t="str">
        <f t="shared" si="3"/>
        <v>Camry</v>
      </c>
      <c r="F3" s="7" t="str">
        <f t="shared" si="4"/>
        <v>98</v>
      </c>
      <c r="G3" s="6">
        <f t="shared" si="5"/>
        <v>28</v>
      </c>
      <c r="H3" s="6">
        <v>93382.6</v>
      </c>
      <c r="I3" s="8">
        <f t="shared" si="6"/>
        <v>3276.582456140351</v>
      </c>
      <c r="J3" s="6" t="s">
        <v>15</v>
      </c>
      <c r="K3" s="6" t="s">
        <v>52</v>
      </c>
      <c r="L3" s="6">
        <v>100000</v>
      </c>
      <c r="M3" s="6" t="str">
        <f t="shared" si="7"/>
        <v>Yes</v>
      </c>
      <c r="N3" s="6" t="str">
        <f t="shared" si="8"/>
        <v>TY98CAMBLA021</v>
      </c>
      <c r="O3" s="5"/>
      <c r="P3" s="5"/>
      <c r="Q3" s="5"/>
    </row>
    <row r="4" spans="1:17" ht="15.75" x14ac:dyDescent="0.25">
      <c r="A4" s="6" t="s">
        <v>53</v>
      </c>
      <c r="B4" s="6" t="str">
        <f t="shared" si="0"/>
        <v>TY</v>
      </c>
      <c r="C4" s="6" t="str">
        <f t="shared" si="1"/>
        <v>Toyota</v>
      </c>
      <c r="D4" s="6" t="str">
        <f t="shared" si="2"/>
        <v>CAM</v>
      </c>
      <c r="E4" s="6" t="str">
        <f t="shared" si="3"/>
        <v>Camry</v>
      </c>
      <c r="F4" s="7" t="str">
        <f t="shared" si="4"/>
        <v>00</v>
      </c>
      <c r="G4" s="6">
        <f t="shared" si="5"/>
        <v>26</v>
      </c>
      <c r="H4" s="6">
        <v>85928</v>
      </c>
      <c r="I4" s="8">
        <f t="shared" si="6"/>
        <v>3242.566037735849</v>
      </c>
      <c r="J4" s="6" t="s">
        <v>21</v>
      </c>
      <c r="K4" s="6" t="s">
        <v>26</v>
      </c>
      <c r="L4" s="6">
        <v>100000</v>
      </c>
      <c r="M4" s="6" t="str">
        <f t="shared" si="7"/>
        <v>Yes</v>
      </c>
      <c r="N4" s="6" t="str">
        <f t="shared" si="8"/>
        <v>TY00CAMGRE022</v>
      </c>
      <c r="O4" s="5"/>
      <c r="P4" s="5"/>
      <c r="Q4" s="5"/>
    </row>
    <row r="5" spans="1:17" ht="15.75" x14ac:dyDescent="0.25">
      <c r="A5" s="6" t="s">
        <v>78</v>
      </c>
      <c r="B5" s="6" t="str">
        <f t="shared" si="0"/>
        <v>CR</v>
      </c>
      <c r="C5" s="6" t="str">
        <f t="shared" si="1"/>
        <v>Chrysler</v>
      </c>
      <c r="D5" s="6" t="str">
        <f t="shared" si="2"/>
        <v>CAR</v>
      </c>
      <c r="E5" s="6" t="str">
        <f t="shared" si="3"/>
        <v>Caravan</v>
      </c>
      <c r="F5" s="7" t="str">
        <f t="shared" si="4"/>
        <v>04</v>
      </c>
      <c r="G5" s="6">
        <f t="shared" si="5"/>
        <v>22</v>
      </c>
      <c r="H5" s="6">
        <v>72527.199999999997</v>
      </c>
      <c r="I5" s="8">
        <f t="shared" si="6"/>
        <v>3223.431111111111</v>
      </c>
      <c r="J5" s="6" t="s">
        <v>18</v>
      </c>
      <c r="K5" s="6" t="s">
        <v>41</v>
      </c>
      <c r="L5" s="6">
        <v>75000</v>
      </c>
      <c r="M5" s="6" t="str">
        <f t="shared" si="7"/>
        <v>Yes</v>
      </c>
      <c r="N5" s="6" t="str">
        <f t="shared" si="8"/>
        <v>CR04CARWHI047</v>
      </c>
      <c r="O5" s="5"/>
      <c r="P5" s="5"/>
      <c r="Q5" s="5"/>
    </row>
    <row r="6" spans="1:17" ht="15.75" x14ac:dyDescent="0.25">
      <c r="A6" s="6" t="s">
        <v>59</v>
      </c>
      <c r="B6" s="6" t="str">
        <f t="shared" si="0"/>
        <v>TY</v>
      </c>
      <c r="C6" s="6" t="str">
        <f t="shared" si="1"/>
        <v>Toyota</v>
      </c>
      <c r="D6" s="6" t="str">
        <f t="shared" si="2"/>
        <v>COR</v>
      </c>
      <c r="E6" s="6" t="str">
        <f t="shared" si="3"/>
        <v>Corolla</v>
      </c>
      <c r="F6" s="7" t="str">
        <f t="shared" si="4"/>
        <v>03</v>
      </c>
      <c r="G6" s="6">
        <f t="shared" si="5"/>
        <v>23</v>
      </c>
      <c r="H6" s="6">
        <v>73444.399999999994</v>
      </c>
      <c r="I6" s="8">
        <f t="shared" si="6"/>
        <v>3125.2936170212765</v>
      </c>
      <c r="J6" s="6" t="s">
        <v>15</v>
      </c>
      <c r="K6" s="6" t="s">
        <v>58</v>
      </c>
      <c r="L6" s="6">
        <v>100000</v>
      </c>
      <c r="M6" s="6" t="str">
        <f t="shared" si="7"/>
        <v>Yes</v>
      </c>
      <c r="N6" s="6" t="str">
        <f t="shared" si="8"/>
        <v>TY03CORBLA026</v>
      </c>
      <c r="O6" s="5"/>
      <c r="P6" s="5"/>
      <c r="Q6" s="5"/>
    </row>
    <row r="7" spans="1:17" ht="15.75" x14ac:dyDescent="0.25">
      <c r="A7" s="6" t="s">
        <v>47</v>
      </c>
      <c r="B7" s="6" t="str">
        <f t="shared" si="0"/>
        <v>GM</v>
      </c>
      <c r="C7" s="6" t="str">
        <f t="shared" si="1"/>
        <v>General Motors</v>
      </c>
      <c r="D7" s="6" t="str">
        <f t="shared" si="2"/>
        <v>SLV</v>
      </c>
      <c r="E7" s="6" t="str">
        <f t="shared" si="3"/>
        <v>Silverado</v>
      </c>
      <c r="F7" s="7" t="str">
        <f t="shared" si="4"/>
        <v>00</v>
      </c>
      <c r="G7" s="6">
        <f t="shared" si="5"/>
        <v>26</v>
      </c>
      <c r="H7" s="6">
        <v>80685.8</v>
      </c>
      <c r="I7" s="8">
        <f t="shared" si="6"/>
        <v>3044.7471698113209</v>
      </c>
      <c r="J7" s="6" t="s">
        <v>48</v>
      </c>
      <c r="K7" s="6" t="s">
        <v>36</v>
      </c>
      <c r="L7" s="6">
        <v>100000</v>
      </c>
      <c r="M7" s="6" t="str">
        <f t="shared" si="7"/>
        <v>Yes</v>
      </c>
      <c r="N7" s="6" t="str">
        <f t="shared" si="8"/>
        <v>GM00SLVBLU019</v>
      </c>
      <c r="O7" s="5"/>
      <c r="P7" s="5"/>
      <c r="Q7" s="5"/>
    </row>
    <row r="8" spans="1:17" ht="15.75" x14ac:dyDescent="0.25">
      <c r="A8" s="6" t="s">
        <v>63</v>
      </c>
      <c r="B8" s="6" t="str">
        <f t="shared" si="0"/>
        <v>HO</v>
      </c>
      <c r="C8" s="6" t="str">
        <f t="shared" si="1"/>
        <v>Honda</v>
      </c>
      <c r="D8" s="6" t="str">
        <f t="shared" si="2"/>
        <v>CIV</v>
      </c>
      <c r="E8" s="6" t="str">
        <f t="shared" si="3"/>
        <v>Civic</v>
      </c>
      <c r="F8" s="7" t="str">
        <f t="shared" si="4"/>
        <v>99</v>
      </c>
      <c r="G8" s="6">
        <f t="shared" si="5"/>
        <v>27</v>
      </c>
      <c r="H8" s="6">
        <v>82374</v>
      </c>
      <c r="I8" s="8">
        <f t="shared" si="6"/>
        <v>2995.4181818181819</v>
      </c>
      <c r="J8" s="6" t="s">
        <v>18</v>
      </c>
      <c r="K8" s="6" t="s">
        <v>38</v>
      </c>
      <c r="L8" s="6">
        <v>75000</v>
      </c>
      <c r="M8" s="6" t="str">
        <f t="shared" si="7"/>
        <v>Not Covered</v>
      </c>
      <c r="N8" s="6" t="str">
        <f t="shared" si="8"/>
        <v>HO99CIVWHI030</v>
      </c>
      <c r="O8" s="5"/>
      <c r="P8" s="5"/>
      <c r="Q8" s="5"/>
    </row>
    <row r="9" spans="1:17" ht="15.75" x14ac:dyDescent="0.25">
      <c r="A9" s="6" t="s">
        <v>46</v>
      </c>
      <c r="B9" s="6" t="str">
        <f t="shared" si="0"/>
        <v>GM</v>
      </c>
      <c r="C9" s="6" t="str">
        <f t="shared" si="1"/>
        <v>General Motors</v>
      </c>
      <c r="D9" s="6" t="str">
        <f t="shared" si="2"/>
        <v>SLV</v>
      </c>
      <c r="E9" s="6" t="str">
        <f t="shared" si="3"/>
        <v>Silverado</v>
      </c>
      <c r="F9" s="7" t="str">
        <f t="shared" si="4"/>
        <v>98</v>
      </c>
      <c r="G9" s="6">
        <f t="shared" si="5"/>
        <v>28</v>
      </c>
      <c r="H9" s="6">
        <v>83162.7</v>
      </c>
      <c r="I9" s="8">
        <f t="shared" si="6"/>
        <v>2917.9894736842102</v>
      </c>
      <c r="J9" s="6" t="s">
        <v>15</v>
      </c>
      <c r="K9" s="6" t="s">
        <v>39</v>
      </c>
      <c r="L9" s="6">
        <v>100000</v>
      </c>
      <c r="M9" s="6" t="str">
        <f t="shared" si="7"/>
        <v>Yes</v>
      </c>
      <c r="N9" s="6" t="str">
        <f t="shared" si="8"/>
        <v>GM98SLVBLA018</v>
      </c>
      <c r="O9" s="5"/>
      <c r="P9" s="5"/>
      <c r="Q9" s="5"/>
    </row>
    <row r="10" spans="1:17" ht="15.75" x14ac:dyDescent="0.25">
      <c r="A10" s="6" t="s">
        <v>77</v>
      </c>
      <c r="B10" s="6" t="str">
        <f t="shared" si="0"/>
        <v>CR</v>
      </c>
      <c r="C10" s="6" t="str">
        <f t="shared" si="1"/>
        <v>Chrysler</v>
      </c>
      <c r="D10" s="6" t="str">
        <f t="shared" si="2"/>
        <v>CAR</v>
      </c>
      <c r="E10" s="6" t="str">
        <f t="shared" si="3"/>
        <v>Caravan</v>
      </c>
      <c r="F10" s="7" t="str">
        <f t="shared" si="4"/>
        <v>00</v>
      </c>
      <c r="G10" s="6">
        <f t="shared" si="5"/>
        <v>26</v>
      </c>
      <c r="H10" s="6">
        <v>77243.100000000006</v>
      </c>
      <c r="I10" s="8">
        <f t="shared" si="6"/>
        <v>2914.8339622641511</v>
      </c>
      <c r="J10" s="6" t="s">
        <v>15</v>
      </c>
      <c r="K10" s="6" t="s">
        <v>24</v>
      </c>
      <c r="L10" s="6">
        <v>75000</v>
      </c>
      <c r="M10" s="6" t="str">
        <f t="shared" si="7"/>
        <v>Not Covered</v>
      </c>
      <c r="N10" s="6" t="str">
        <f t="shared" si="8"/>
        <v>CR00CARBLA046</v>
      </c>
      <c r="O10" s="5"/>
      <c r="P10" s="5"/>
      <c r="Q10" s="5"/>
    </row>
    <row r="11" spans="1:17" ht="15.75" x14ac:dyDescent="0.25">
      <c r="A11" s="6" t="s">
        <v>76</v>
      </c>
      <c r="B11" s="6" t="str">
        <f t="shared" si="0"/>
        <v>CR</v>
      </c>
      <c r="C11" s="6" t="str">
        <f t="shared" si="1"/>
        <v>Chrysler</v>
      </c>
      <c r="D11" s="6" t="str">
        <f t="shared" si="2"/>
        <v>CAR</v>
      </c>
      <c r="E11" s="6" t="str">
        <f t="shared" si="3"/>
        <v>Caravan</v>
      </c>
      <c r="F11" s="7" t="str">
        <f t="shared" si="4"/>
        <v>99</v>
      </c>
      <c r="G11" s="6">
        <f t="shared" si="5"/>
        <v>27</v>
      </c>
      <c r="H11" s="6">
        <v>79420.600000000006</v>
      </c>
      <c r="I11" s="8">
        <f t="shared" si="6"/>
        <v>2888.0218181818186</v>
      </c>
      <c r="J11" s="6" t="s">
        <v>21</v>
      </c>
      <c r="K11" s="6" t="s">
        <v>45</v>
      </c>
      <c r="L11" s="6">
        <v>75000</v>
      </c>
      <c r="M11" s="6" t="str">
        <f t="shared" si="7"/>
        <v>Not Covered</v>
      </c>
      <c r="N11" s="6" t="str">
        <f t="shared" si="8"/>
        <v>CR99CARGRE045</v>
      </c>
      <c r="O11" s="5"/>
      <c r="P11" s="5"/>
      <c r="Q11" s="5"/>
    </row>
    <row r="12" spans="1:17" ht="15.75" x14ac:dyDescent="0.25">
      <c r="A12" s="6" t="s">
        <v>73</v>
      </c>
      <c r="B12" s="6" t="str">
        <f t="shared" si="0"/>
        <v>CR</v>
      </c>
      <c r="C12" s="6" t="str">
        <f t="shared" si="1"/>
        <v>Chrysler</v>
      </c>
      <c r="D12" s="6" t="str">
        <f t="shared" si="2"/>
        <v>PTC</v>
      </c>
      <c r="E12" s="6" t="str">
        <f t="shared" si="3"/>
        <v>PT Cruiser</v>
      </c>
      <c r="F12" s="7" t="str">
        <f t="shared" si="4"/>
        <v>04</v>
      </c>
      <c r="G12" s="6">
        <f t="shared" si="5"/>
        <v>22</v>
      </c>
      <c r="H12" s="6">
        <v>64542</v>
      </c>
      <c r="I12" s="8">
        <f t="shared" si="6"/>
        <v>2868.5333333333333</v>
      </c>
      <c r="J12" s="6" t="s">
        <v>48</v>
      </c>
      <c r="K12" s="6" t="s">
        <v>16</v>
      </c>
      <c r="L12" s="6">
        <v>75000</v>
      </c>
      <c r="M12" s="6" t="str">
        <f t="shared" si="7"/>
        <v>Yes</v>
      </c>
      <c r="N12" s="6" t="str">
        <f t="shared" si="8"/>
        <v>CR04PTCBLU042</v>
      </c>
      <c r="O12" s="5"/>
      <c r="P12" s="5"/>
      <c r="Q12" s="5"/>
    </row>
    <row r="13" spans="1:17" ht="31.5" x14ac:dyDescent="0.25">
      <c r="A13" s="6" t="s">
        <v>121</v>
      </c>
      <c r="B13" s="6" t="str">
        <f t="shared" si="0"/>
        <v>HO</v>
      </c>
      <c r="C13" s="6" t="str">
        <f t="shared" si="1"/>
        <v>Honda</v>
      </c>
      <c r="D13" s="6" t="str">
        <f t="shared" si="2"/>
        <v>ODY</v>
      </c>
      <c r="E13" s="6" t="str">
        <f t="shared" si="3"/>
        <v>Odyssey</v>
      </c>
      <c r="F13" s="7" t="str">
        <f t="shared" si="4"/>
        <v>05</v>
      </c>
      <c r="G13" s="6">
        <f t="shared" si="5"/>
        <v>21</v>
      </c>
      <c r="H13" s="6">
        <v>60389.5</v>
      </c>
      <c r="I13" s="8">
        <f t="shared" si="6"/>
        <v>2808.8139534883721</v>
      </c>
      <c r="J13" s="6" t="s">
        <v>18</v>
      </c>
      <c r="K13" s="6" t="s">
        <v>29</v>
      </c>
      <c r="L13" s="6">
        <v>100000</v>
      </c>
      <c r="M13" s="6" t="str">
        <f t="shared" si="7"/>
        <v>Yes</v>
      </c>
      <c r="N13" s="6" t="str">
        <f t="shared" si="8"/>
        <v>HO05ODYWHI037</v>
      </c>
      <c r="O13" s="5"/>
      <c r="P13" s="5"/>
      <c r="Q13" s="5"/>
    </row>
    <row r="14" spans="1:17" ht="15.75" x14ac:dyDescent="0.25">
      <c r="A14" s="6" t="s">
        <v>54</v>
      </c>
      <c r="B14" s="6" t="str">
        <f t="shared" si="0"/>
        <v>TY</v>
      </c>
      <c r="C14" s="6" t="str">
        <f t="shared" si="1"/>
        <v>Toyota</v>
      </c>
      <c r="D14" s="6" t="str">
        <f t="shared" si="2"/>
        <v>CAM</v>
      </c>
      <c r="E14" s="6" t="str">
        <f t="shared" si="3"/>
        <v>Camry</v>
      </c>
      <c r="F14" s="7" t="str">
        <f t="shared" si="4"/>
        <v>02</v>
      </c>
      <c r="G14" s="6">
        <f t="shared" si="5"/>
        <v>24</v>
      </c>
      <c r="H14" s="6">
        <v>67829.100000000006</v>
      </c>
      <c r="I14" s="8">
        <f t="shared" si="6"/>
        <v>2768.534693877551</v>
      </c>
      <c r="J14" s="6" t="s">
        <v>15</v>
      </c>
      <c r="K14" s="6" t="s">
        <v>16</v>
      </c>
      <c r="L14" s="6">
        <v>100000</v>
      </c>
      <c r="M14" s="6" t="str">
        <f t="shared" si="7"/>
        <v>Yes</v>
      </c>
      <c r="N14" s="6" t="str">
        <f t="shared" si="8"/>
        <v>TY02CAMBLA023</v>
      </c>
      <c r="O14" s="5"/>
      <c r="P14" s="5"/>
      <c r="Q14" s="5"/>
    </row>
    <row r="15" spans="1:17" ht="15.75" x14ac:dyDescent="0.25">
      <c r="A15" s="6" t="s">
        <v>55</v>
      </c>
      <c r="B15" s="6" t="str">
        <f t="shared" si="0"/>
        <v>TY</v>
      </c>
      <c r="C15" s="6" t="str">
        <f t="shared" si="1"/>
        <v>Toyota</v>
      </c>
      <c r="D15" s="6" t="str">
        <f t="shared" si="2"/>
        <v>CAM</v>
      </c>
      <c r="E15" s="6" t="str">
        <f t="shared" si="3"/>
        <v>Camry</v>
      </c>
      <c r="F15" s="7" t="str">
        <f t="shared" si="4"/>
        <v>09</v>
      </c>
      <c r="G15" s="6">
        <f t="shared" si="5"/>
        <v>17</v>
      </c>
      <c r="H15" s="6">
        <v>48114.2</v>
      </c>
      <c r="I15" s="8">
        <f t="shared" si="6"/>
        <v>2749.3828571428571</v>
      </c>
      <c r="J15" s="6" t="s">
        <v>18</v>
      </c>
      <c r="K15" s="6" t="s">
        <v>29</v>
      </c>
      <c r="L15" s="6">
        <v>100000</v>
      </c>
      <c r="M15" s="6" t="str">
        <f t="shared" si="7"/>
        <v>Yes</v>
      </c>
      <c r="N15" s="6" t="str">
        <f t="shared" si="8"/>
        <v>TY09CAMWHI024</v>
      </c>
      <c r="O15" s="5"/>
      <c r="P15" s="5"/>
      <c r="Q15" s="5"/>
    </row>
    <row r="16" spans="1:17" ht="15.75" x14ac:dyDescent="0.25">
      <c r="A16" s="6" t="s">
        <v>64</v>
      </c>
      <c r="B16" s="6" t="str">
        <f t="shared" si="0"/>
        <v>HO</v>
      </c>
      <c r="C16" s="6" t="str">
        <f t="shared" si="1"/>
        <v>Honda</v>
      </c>
      <c r="D16" s="6" t="str">
        <f t="shared" si="2"/>
        <v>CIV</v>
      </c>
      <c r="E16" s="6" t="str">
        <f t="shared" si="3"/>
        <v>Civic</v>
      </c>
      <c r="F16" s="7" t="str">
        <f t="shared" si="4"/>
        <v>01</v>
      </c>
      <c r="G16" s="6">
        <f t="shared" si="5"/>
        <v>25</v>
      </c>
      <c r="H16" s="6">
        <v>69891.899999999994</v>
      </c>
      <c r="I16" s="8">
        <f t="shared" si="6"/>
        <v>2740.8588235294114</v>
      </c>
      <c r="J16" s="6" t="s">
        <v>48</v>
      </c>
      <c r="K16" s="6" t="s">
        <v>24</v>
      </c>
      <c r="L16" s="6">
        <v>75000</v>
      </c>
      <c r="M16" s="6" t="str">
        <f t="shared" si="7"/>
        <v>Yes</v>
      </c>
      <c r="N16" s="6" t="str">
        <f t="shared" si="8"/>
        <v>HO01CIVBLU031</v>
      </c>
      <c r="O16" s="5"/>
      <c r="P16" s="5"/>
      <c r="Q16" s="5"/>
    </row>
    <row r="17" spans="1:17" ht="31.5" x14ac:dyDescent="0.25">
      <c r="A17" s="6" t="s">
        <v>118</v>
      </c>
      <c r="B17" s="6" t="str">
        <f t="shared" si="0"/>
        <v>HO</v>
      </c>
      <c r="C17" s="6" t="str">
        <f t="shared" si="1"/>
        <v>Honda</v>
      </c>
      <c r="D17" s="6" t="str">
        <f t="shared" si="2"/>
        <v>ODY</v>
      </c>
      <c r="E17" s="6" t="str">
        <f t="shared" si="3"/>
        <v>Odyssey</v>
      </c>
      <c r="F17" s="7" t="str">
        <f t="shared" si="4"/>
        <v>01</v>
      </c>
      <c r="G17" s="6">
        <f t="shared" si="5"/>
        <v>25</v>
      </c>
      <c r="H17" s="6">
        <v>68658.899999999994</v>
      </c>
      <c r="I17" s="8">
        <f t="shared" si="6"/>
        <v>2692.5058823529412</v>
      </c>
      <c r="J17" s="6" t="s">
        <v>15</v>
      </c>
      <c r="K17" s="6" t="s">
        <v>16</v>
      </c>
      <c r="L17" s="6">
        <v>100000</v>
      </c>
      <c r="M17" s="6" t="str">
        <f t="shared" si="7"/>
        <v>Yes</v>
      </c>
      <c r="N17" s="6" t="str">
        <f t="shared" si="8"/>
        <v>HO01ODYBLA040</v>
      </c>
      <c r="O17" s="5"/>
      <c r="P17" s="5"/>
      <c r="Q17" s="5"/>
    </row>
    <row r="18" spans="1:17" ht="15.75" x14ac:dyDescent="0.25">
      <c r="A18" s="6" t="s">
        <v>56</v>
      </c>
      <c r="B18" s="6" t="str">
        <f t="shared" si="0"/>
        <v>TY</v>
      </c>
      <c r="C18" s="6" t="str">
        <f t="shared" si="1"/>
        <v>Toyota</v>
      </c>
      <c r="D18" s="6" t="str">
        <f t="shared" si="2"/>
        <v>COR</v>
      </c>
      <c r="E18" s="6" t="str">
        <f t="shared" si="3"/>
        <v>Corolla</v>
      </c>
      <c r="F18" s="7" t="str">
        <f t="shared" si="4"/>
        <v>02</v>
      </c>
      <c r="G18" s="6">
        <f t="shared" si="5"/>
        <v>24</v>
      </c>
      <c r="H18" s="6">
        <v>64467.4</v>
      </c>
      <c r="I18" s="8">
        <f t="shared" si="6"/>
        <v>2631.3224489795921</v>
      </c>
      <c r="J18" s="6" t="s">
        <v>57</v>
      </c>
      <c r="K18" s="6" t="s">
        <v>58</v>
      </c>
      <c r="L18" s="6">
        <v>100000</v>
      </c>
      <c r="M18" s="6" t="str">
        <f t="shared" si="7"/>
        <v>Yes</v>
      </c>
      <c r="N18" s="6" t="str">
        <f t="shared" si="8"/>
        <v>TY02CORRED025</v>
      </c>
      <c r="O18" s="5"/>
      <c r="P18" s="5"/>
      <c r="Q18" s="5"/>
    </row>
    <row r="19" spans="1:17" ht="31.5" x14ac:dyDescent="0.25">
      <c r="A19" s="6" t="s">
        <v>70</v>
      </c>
      <c r="B19" s="6" t="str">
        <f t="shared" si="0"/>
        <v>HO</v>
      </c>
      <c r="C19" s="6" t="str">
        <f t="shared" si="1"/>
        <v>Honda</v>
      </c>
      <c r="D19" s="6" t="str">
        <f t="shared" si="2"/>
        <v>ODY</v>
      </c>
      <c r="E19" s="6" t="str">
        <f t="shared" si="3"/>
        <v>Odyssey</v>
      </c>
      <c r="F19" s="7" t="str">
        <f t="shared" si="4"/>
        <v>07</v>
      </c>
      <c r="G19" s="6">
        <f t="shared" si="5"/>
        <v>19</v>
      </c>
      <c r="H19" s="6">
        <v>50854.1</v>
      </c>
      <c r="I19" s="8">
        <f t="shared" si="6"/>
        <v>2607.9025641025642</v>
      </c>
      <c r="J19" s="6" t="s">
        <v>15</v>
      </c>
      <c r="K19" s="6" t="s">
        <v>52</v>
      </c>
      <c r="L19" s="6">
        <v>100000</v>
      </c>
      <c r="M19" s="6" t="str">
        <f t="shared" si="7"/>
        <v>Yes</v>
      </c>
      <c r="N19" s="6" t="str">
        <f t="shared" si="8"/>
        <v>HO07ODYBLA038</v>
      </c>
      <c r="O19" s="5"/>
      <c r="P19" s="5"/>
      <c r="Q19" s="5"/>
    </row>
    <row r="20" spans="1:17" ht="15.75" x14ac:dyDescent="0.25">
      <c r="A20" s="6" t="s">
        <v>27</v>
      </c>
      <c r="B20" s="6" t="str">
        <f t="shared" si="0"/>
        <v>FD</v>
      </c>
      <c r="C20" s="6" t="str">
        <f t="shared" si="1"/>
        <v>Ford</v>
      </c>
      <c r="D20" s="6" t="str">
        <f t="shared" si="2"/>
        <v>FCS</v>
      </c>
      <c r="E20" s="6" t="str">
        <f t="shared" si="3"/>
        <v>Focus</v>
      </c>
      <c r="F20" s="7" t="str">
        <f t="shared" si="4"/>
        <v>06</v>
      </c>
      <c r="G20" s="6">
        <f t="shared" si="5"/>
        <v>20</v>
      </c>
      <c r="H20" s="6">
        <v>52229.5</v>
      </c>
      <c r="I20" s="8">
        <f t="shared" si="6"/>
        <v>2547.7804878048782</v>
      </c>
      <c r="J20" s="6" t="s">
        <v>21</v>
      </c>
      <c r="K20" s="6" t="s">
        <v>22</v>
      </c>
      <c r="L20" s="6">
        <v>75000</v>
      </c>
      <c r="M20" s="6" t="str">
        <f t="shared" si="7"/>
        <v>Yes</v>
      </c>
      <c r="N20" s="6" t="str">
        <f t="shared" si="8"/>
        <v>FD06FCSGRE007</v>
      </c>
      <c r="O20" s="5"/>
      <c r="P20" s="5"/>
      <c r="Q20" s="5"/>
    </row>
    <row r="21" spans="1:17" ht="15.75" x14ac:dyDescent="0.25">
      <c r="A21" s="6" t="s">
        <v>20</v>
      </c>
      <c r="B21" s="6" t="str">
        <f t="shared" si="0"/>
        <v>FD</v>
      </c>
      <c r="C21" s="6" t="str">
        <f t="shared" si="1"/>
        <v>Ford</v>
      </c>
      <c r="D21" s="6" t="str">
        <f t="shared" si="2"/>
        <v>MTG</v>
      </c>
      <c r="E21" s="6" t="str">
        <f t="shared" si="3"/>
        <v>Mustang</v>
      </c>
      <c r="F21" s="7" t="str">
        <f t="shared" si="4"/>
        <v>08</v>
      </c>
      <c r="G21" s="6">
        <f t="shared" si="5"/>
        <v>18</v>
      </c>
      <c r="H21" s="6">
        <v>44946.5</v>
      </c>
      <c r="I21" s="8">
        <f t="shared" si="6"/>
        <v>2429.5405405405404</v>
      </c>
      <c r="J21" s="6" t="s">
        <v>21</v>
      </c>
      <c r="K21" s="6" t="s">
        <v>22</v>
      </c>
      <c r="L21" s="6">
        <v>50000</v>
      </c>
      <c r="M21" s="6" t="str">
        <f t="shared" si="7"/>
        <v>Yes</v>
      </c>
      <c r="N21" s="6" t="str">
        <f t="shared" si="8"/>
        <v>FD08MTGGRE003</v>
      </c>
      <c r="O21" s="5"/>
      <c r="P21" s="5"/>
      <c r="Q21" s="5"/>
    </row>
    <row r="22" spans="1:17" ht="15.75" x14ac:dyDescent="0.25">
      <c r="A22" s="6" t="s">
        <v>79</v>
      </c>
      <c r="B22" s="6" t="str">
        <f t="shared" si="0"/>
        <v>CR</v>
      </c>
      <c r="C22" s="6" t="str">
        <f t="shared" si="1"/>
        <v>Chrysler</v>
      </c>
      <c r="D22" s="6" t="str">
        <f t="shared" si="2"/>
        <v>CAR</v>
      </c>
      <c r="E22" s="6" t="str">
        <f t="shared" si="3"/>
        <v>Caravan</v>
      </c>
      <c r="F22" s="7" t="str">
        <f t="shared" si="4"/>
        <v>04</v>
      </c>
      <c r="G22" s="6">
        <f t="shared" si="5"/>
        <v>22</v>
      </c>
      <c r="H22" s="6">
        <v>52699.4</v>
      </c>
      <c r="I22" s="8">
        <f t="shared" si="6"/>
        <v>2342.1955555555555</v>
      </c>
      <c r="J22" s="6" t="s">
        <v>57</v>
      </c>
      <c r="K22" s="6" t="s">
        <v>41</v>
      </c>
      <c r="L22" s="6">
        <v>75000</v>
      </c>
      <c r="M22" s="6" t="str">
        <f t="shared" si="7"/>
        <v>Yes</v>
      </c>
      <c r="N22" s="6" t="str">
        <f t="shared" si="8"/>
        <v>CR04CARRED048</v>
      </c>
      <c r="O22" s="5"/>
      <c r="P22" s="5"/>
      <c r="Q22" s="5"/>
    </row>
    <row r="23" spans="1:17" ht="31.5" x14ac:dyDescent="0.25">
      <c r="A23" s="6" t="s">
        <v>71</v>
      </c>
      <c r="B23" s="6" t="str">
        <f t="shared" si="0"/>
        <v>HO</v>
      </c>
      <c r="C23" s="6" t="str">
        <f t="shared" si="1"/>
        <v>Honda</v>
      </c>
      <c r="D23" s="6" t="str">
        <f t="shared" si="2"/>
        <v>ODY</v>
      </c>
      <c r="E23" s="6" t="str">
        <f t="shared" si="3"/>
        <v>Odyssey</v>
      </c>
      <c r="F23" s="7" t="str">
        <f t="shared" si="4"/>
        <v>08</v>
      </c>
      <c r="G23" s="6">
        <f t="shared" si="5"/>
        <v>18</v>
      </c>
      <c r="H23" s="6">
        <v>42504.6</v>
      </c>
      <c r="I23" s="8">
        <f t="shared" si="6"/>
        <v>2297.5459459459457</v>
      </c>
      <c r="J23" s="6" t="s">
        <v>18</v>
      </c>
      <c r="K23" s="6" t="s">
        <v>38</v>
      </c>
      <c r="L23" s="6">
        <v>100000</v>
      </c>
      <c r="M23" s="6" t="str">
        <f t="shared" si="7"/>
        <v>Yes</v>
      </c>
      <c r="N23" s="6" t="str">
        <f t="shared" si="8"/>
        <v>HO08ODYWHI039</v>
      </c>
      <c r="O23" s="5"/>
      <c r="P23" s="5"/>
      <c r="Q23" s="5"/>
    </row>
    <row r="24" spans="1:17" ht="15.75" x14ac:dyDescent="0.25">
      <c r="A24" s="5" t="s">
        <v>119</v>
      </c>
      <c r="B24" s="6" t="str">
        <f t="shared" si="0"/>
        <v>FD</v>
      </c>
      <c r="C24" s="6" t="str">
        <f t="shared" si="1"/>
        <v>Ford</v>
      </c>
      <c r="D24" s="6" t="str">
        <f t="shared" si="2"/>
        <v>FCS</v>
      </c>
      <c r="E24" s="6" t="str">
        <f t="shared" si="3"/>
        <v>Focus</v>
      </c>
      <c r="F24" s="7" t="str">
        <f t="shared" si="4"/>
        <v>06</v>
      </c>
      <c r="G24" s="6">
        <f t="shared" si="5"/>
        <v>20</v>
      </c>
      <c r="H24" s="6">
        <v>46311.4</v>
      </c>
      <c r="I24" s="8">
        <f t="shared" si="6"/>
        <v>2259.0926829268292</v>
      </c>
      <c r="J24" s="6" t="s">
        <v>21</v>
      </c>
      <c r="K24" s="6" t="s">
        <v>26</v>
      </c>
      <c r="L24" s="6">
        <v>75000</v>
      </c>
      <c r="M24" s="6" t="str">
        <f t="shared" si="7"/>
        <v>Yes</v>
      </c>
      <c r="N24" s="6" t="str">
        <f t="shared" si="8"/>
        <v>FD06FCSGRE006</v>
      </c>
      <c r="O24" s="5"/>
      <c r="P24" s="5"/>
      <c r="Q24" s="5"/>
    </row>
    <row r="25" spans="1:17" ht="15.75" x14ac:dyDescent="0.25">
      <c r="A25" s="5" t="s">
        <v>17</v>
      </c>
      <c r="B25" s="6" t="str">
        <f t="shared" si="0"/>
        <v>FD</v>
      </c>
      <c r="C25" s="6" t="str">
        <f t="shared" si="1"/>
        <v>Ford</v>
      </c>
      <c r="D25" s="6" t="str">
        <f t="shared" si="2"/>
        <v>MTG</v>
      </c>
      <c r="E25" s="6" t="str">
        <f t="shared" si="3"/>
        <v>Mustang</v>
      </c>
      <c r="F25" s="7" t="str">
        <f t="shared" si="4"/>
        <v>06</v>
      </c>
      <c r="G25" s="6">
        <f t="shared" si="5"/>
        <v>20</v>
      </c>
      <c r="H25" s="6">
        <v>44974.8</v>
      </c>
      <c r="I25" s="8">
        <f t="shared" si="6"/>
        <v>2193.8926829268294</v>
      </c>
      <c r="J25" s="6" t="s">
        <v>18</v>
      </c>
      <c r="K25" s="6" t="s">
        <v>19</v>
      </c>
      <c r="L25" s="6">
        <v>50000</v>
      </c>
      <c r="M25" s="6" t="str">
        <f t="shared" si="7"/>
        <v>Yes</v>
      </c>
      <c r="N25" s="6" t="str">
        <f t="shared" si="8"/>
        <v>FD06MTGWHI002</v>
      </c>
      <c r="O25" s="5"/>
      <c r="P25" s="5"/>
      <c r="Q25" s="5"/>
    </row>
    <row r="26" spans="1:17" ht="15.75" x14ac:dyDescent="0.25">
      <c r="A26" s="6" t="s">
        <v>74</v>
      </c>
      <c r="B26" s="6" t="str">
        <f t="shared" si="0"/>
        <v>CR</v>
      </c>
      <c r="C26" s="6" t="str">
        <f t="shared" si="1"/>
        <v>Chrysler</v>
      </c>
      <c r="D26" s="6" t="str">
        <f t="shared" si="2"/>
        <v>PTC</v>
      </c>
      <c r="E26" s="6" t="str">
        <f t="shared" si="3"/>
        <v>PT Cruiser</v>
      </c>
      <c r="F26" s="7" t="str">
        <f t="shared" si="4"/>
        <v>07</v>
      </c>
      <c r="G26" s="6">
        <f t="shared" si="5"/>
        <v>19</v>
      </c>
      <c r="H26" s="6">
        <v>42074.2</v>
      </c>
      <c r="I26" s="8">
        <f t="shared" si="6"/>
        <v>2157.6512820512821</v>
      </c>
      <c r="J26" s="6" t="s">
        <v>21</v>
      </c>
      <c r="K26" s="6" t="s">
        <v>58</v>
      </c>
      <c r="L26" s="6">
        <v>75000</v>
      </c>
      <c r="M26" s="6" t="str">
        <f t="shared" si="7"/>
        <v>Yes</v>
      </c>
      <c r="N26" s="6" t="str">
        <f t="shared" si="8"/>
        <v>CR07PTCGRE043</v>
      </c>
      <c r="O26" s="5"/>
      <c r="P26" s="5"/>
      <c r="Q26" s="5"/>
    </row>
    <row r="27" spans="1:17" ht="15.75" x14ac:dyDescent="0.25">
      <c r="A27" s="6" t="s">
        <v>30</v>
      </c>
      <c r="B27" s="6" t="str">
        <f t="shared" si="0"/>
        <v>FD</v>
      </c>
      <c r="C27" s="6" t="str">
        <f t="shared" si="1"/>
        <v>Ford</v>
      </c>
      <c r="D27" s="6" t="str">
        <f t="shared" si="2"/>
        <v>FCS</v>
      </c>
      <c r="E27" s="6" t="str">
        <f t="shared" si="3"/>
        <v>Focus</v>
      </c>
      <c r="F27" s="7" t="str">
        <f t="shared" si="4"/>
        <v>13</v>
      </c>
      <c r="G27" s="6">
        <f t="shared" si="5"/>
        <v>13</v>
      </c>
      <c r="H27" s="6">
        <v>27637.1</v>
      </c>
      <c r="I27" s="8">
        <f t="shared" si="6"/>
        <v>2047.1925925925925</v>
      </c>
      <c r="J27" s="6" t="s">
        <v>15</v>
      </c>
      <c r="K27" s="6" t="s">
        <v>16</v>
      </c>
      <c r="L27" s="6">
        <v>75000</v>
      </c>
      <c r="M27" s="6" t="str">
        <f t="shared" si="7"/>
        <v>Yes</v>
      </c>
      <c r="N27" s="6" t="str">
        <f t="shared" si="8"/>
        <v>FD13FCSBLA009</v>
      </c>
      <c r="O27" s="5"/>
      <c r="P27" s="5"/>
      <c r="Q27" s="5"/>
    </row>
    <row r="28" spans="1:17" ht="15.75" x14ac:dyDescent="0.25">
      <c r="A28" s="6" t="s">
        <v>61</v>
      </c>
      <c r="B28" s="6" t="str">
        <f t="shared" si="0"/>
        <v>TY</v>
      </c>
      <c r="C28" s="6" t="str">
        <f t="shared" si="1"/>
        <v>Toyota</v>
      </c>
      <c r="D28" s="6" t="str">
        <f t="shared" si="2"/>
        <v>COR</v>
      </c>
      <c r="E28" s="6" t="str">
        <f t="shared" si="3"/>
        <v>Corolla</v>
      </c>
      <c r="F28" s="7" t="str">
        <f t="shared" si="4"/>
        <v>12</v>
      </c>
      <c r="G28" s="6">
        <f t="shared" si="5"/>
        <v>14</v>
      </c>
      <c r="H28" s="6">
        <v>29601.9</v>
      </c>
      <c r="I28" s="8">
        <f t="shared" si="6"/>
        <v>2041.5103448275863</v>
      </c>
      <c r="J28" s="6" t="s">
        <v>15</v>
      </c>
      <c r="K28" s="6" t="s">
        <v>39</v>
      </c>
      <c r="L28" s="6">
        <v>100000</v>
      </c>
      <c r="M28" s="6" t="str">
        <f t="shared" si="7"/>
        <v>Yes</v>
      </c>
      <c r="N28" s="6" t="str">
        <f t="shared" si="8"/>
        <v>TY12CORBLA028</v>
      </c>
      <c r="O28" s="5"/>
      <c r="P28" s="5"/>
      <c r="Q28" s="5"/>
    </row>
    <row r="29" spans="1:17" ht="15.75" x14ac:dyDescent="0.25">
      <c r="A29" s="6" t="s">
        <v>31</v>
      </c>
      <c r="B29" s="6" t="str">
        <f t="shared" si="0"/>
        <v>FD</v>
      </c>
      <c r="C29" s="6" t="str">
        <f t="shared" si="1"/>
        <v>Ford</v>
      </c>
      <c r="D29" s="6" t="str">
        <f t="shared" si="2"/>
        <v>FCS</v>
      </c>
      <c r="E29" s="6" t="str">
        <f t="shared" si="3"/>
        <v>Focus</v>
      </c>
      <c r="F29" s="7" t="str">
        <f t="shared" si="4"/>
        <v>13</v>
      </c>
      <c r="G29" s="6">
        <f t="shared" si="5"/>
        <v>13</v>
      </c>
      <c r="H29" s="6">
        <v>27534.799999999999</v>
      </c>
      <c r="I29" s="8">
        <f t="shared" si="6"/>
        <v>2039.6148148148147</v>
      </c>
      <c r="J29" s="6" t="s">
        <v>18</v>
      </c>
      <c r="K29" s="6" t="s">
        <v>32</v>
      </c>
      <c r="L29" s="6">
        <v>75000</v>
      </c>
      <c r="M29" s="6" t="str">
        <f t="shared" si="7"/>
        <v>Yes</v>
      </c>
      <c r="N29" s="6" t="str">
        <f t="shared" si="8"/>
        <v>FD13FCSWHI010</v>
      </c>
      <c r="O29" s="5"/>
      <c r="P29" s="5"/>
      <c r="Q29" s="5"/>
    </row>
    <row r="30" spans="1:17" ht="15.75" x14ac:dyDescent="0.25">
      <c r="A30" s="6" t="s">
        <v>23</v>
      </c>
      <c r="B30" s="6" t="str">
        <f t="shared" si="0"/>
        <v>FD</v>
      </c>
      <c r="C30" s="6" t="str">
        <f t="shared" si="1"/>
        <v>Ford</v>
      </c>
      <c r="D30" s="6" t="str">
        <f t="shared" si="2"/>
        <v>MTG</v>
      </c>
      <c r="E30" s="6" t="str">
        <f t="shared" si="3"/>
        <v>Mustang</v>
      </c>
      <c r="F30" s="7" t="str">
        <f t="shared" si="4"/>
        <v>08</v>
      </c>
      <c r="G30" s="6">
        <f t="shared" si="5"/>
        <v>18</v>
      </c>
      <c r="H30" s="6">
        <v>37558.800000000003</v>
      </c>
      <c r="I30" s="8">
        <f t="shared" si="6"/>
        <v>2030.2054054054056</v>
      </c>
      <c r="J30" s="6" t="s">
        <v>15</v>
      </c>
      <c r="K30" s="6" t="s">
        <v>24</v>
      </c>
      <c r="L30" s="6">
        <v>50000</v>
      </c>
      <c r="M30" s="6" t="str">
        <f t="shared" si="7"/>
        <v>Yes</v>
      </c>
      <c r="N30" s="6" t="str">
        <f t="shared" si="8"/>
        <v>FD08MTGBLA004</v>
      </c>
      <c r="O30" s="5"/>
      <c r="P30" s="5"/>
      <c r="Q30" s="5"/>
    </row>
    <row r="31" spans="1:17" ht="15.75" x14ac:dyDescent="0.25">
      <c r="A31" s="6" t="s">
        <v>66</v>
      </c>
      <c r="B31" s="6" t="str">
        <f t="shared" si="0"/>
        <v>HO</v>
      </c>
      <c r="C31" s="6" t="str">
        <f t="shared" si="1"/>
        <v>Honda</v>
      </c>
      <c r="D31" s="6" t="str">
        <f t="shared" si="2"/>
        <v>CIV</v>
      </c>
      <c r="E31" s="6" t="str">
        <f t="shared" si="3"/>
        <v>Civic</v>
      </c>
      <c r="F31" s="7" t="str">
        <f t="shared" si="4"/>
        <v>10</v>
      </c>
      <c r="G31" s="6">
        <f t="shared" si="5"/>
        <v>16</v>
      </c>
      <c r="H31" s="6">
        <v>33477.199999999997</v>
      </c>
      <c r="I31" s="8">
        <f t="shared" si="6"/>
        <v>2028.921212121212</v>
      </c>
      <c r="J31" s="6" t="s">
        <v>15</v>
      </c>
      <c r="K31" s="6" t="s">
        <v>52</v>
      </c>
      <c r="L31" s="6">
        <v>75000</v>
      </c>
      <c r="M31" s="6" t="str">
        <f t="shared" si="7"/>
        <v>Yes</v>
      </c>
      <c r="N31" s="6" t="str">
        <f t="shared" si="8"/>
        <v>HO10CIVBLA033</v>
      </c>
      <c r="O31" s="5"/>
      <c r="P31" s="5"/>
      <c r="Q31" s="5"/>
    </row>
    <row r="32" spans="1:17" ht="15.75" x14ac:dyDescent="0.25">
      <c r="A32" s="6" t="s">
        <v>28</v>
      </c>
      <c r="B32" s="6" t="str">
        <f t="shared" si="0"/>
        <v>FD</v>
      </c>
      <c r="C32" s="6" t="str">
        <f t="shared" si="1"/>
        <v>Ford</v>
      </c>
      <c r="D32" s="6" t="str">
        <f t="shared" si="2"/>
        <v>FCS</v>
      </c>
      <c r="E32" s="6" t="str">
        <f t="shared" si="3"/>
        <v>Focus</v>
      </c>
      <c r="F32" s="7" t="str">
        <f t="shared" si="4"/>
        <v>09</v>
      </c>
      <c r="G32" s="6">
        <f t="shared" si="5"/>
        <v>17</v>
      </c>
      <c r="H32" s="6">
        <v>35137</v>
      </c>
      <c r="I32" s="8">
        <f t="shared" si="6"/>
        <v>2007.8285714285714</v>
      </c>
      <c r="J32" s="6" t="s">
        <v>15</v>
      </c>
      <c r="K32" s="6" t="s">
        <v>29</v>
      </c>
      <c r="L32" s="6">
        <v>75000</v>
      </c>
      <c r="M32" s="6" t="str">
        <f t="shared" si="7"/>
        <v>Yes</v>
      </c>
      <c r="N32" s="6" t="str">
        <f t="shared" si="8"/>
        <v>FD09FCSBLA008</v>
      </c>
      <c r="O32" s="5"/>
      <c r="P32" s="5"/>
      <c r="Q32" s="5"/>
    </row>
    <row r="33" spans="1:17" ht="15.75" x14ac:dyDescent="0.25">
      <c r="A33" s="6" t="s">
        <v>67</v>
      </c>
      <c r="B33" s="6" t="str">
        <f t="shared" si="0"/>
        <v>HO</v>
      </c>
      <c r="C33" s="6" t="str">
        <f t="shared" si="1"/>
        <v>Honda</v>
      </c>
      <c r="D33" s="6" t="str">
        <f t="shared" si="2"/>
        <v>CIV</v>
      </c>
      <c r="E33" s="6" t="str">
        <f t="shared" si="3"/>
        <v>Civic</v>
      </c>
      <c r="F33" s="7" t="str">
        <f t="shared" si="4"/>
        <v>11</v>
      </c>
      <c r="G33" s="6">
        <f t="shared" si="5"/>
        <v>15</v>
      </c>
      <c r="H33" s="6">
        <v>30555.3</v>
      </c>
      <c r="I33" s="8">
        <f t="shared" si="6"/>
        <v>1971.3096774193548</v>
      </c>
      <c r="J33" s="6" t="s">
        <v>15</v>
      </c>
      <c r="K33" s="6" t="s">
        <v>22</v>
      </c>
      <c r="L33" s="6">
        <v>75000</v>
      </c>
      <c r="M33" s="6" t="str">
        <f t="shared" si="7"/>
        <v>Yes</v>
      </c>
      <c r="N33" s="6" t="str">
        <f t="shared" si="8"/>
        <v>HO11CIVBLA034</v>
      </c>
      <c r="O33" s="5"/>
      <c r="P33" s="5"/>
      <c r="Q33" s="5"/>
    </row>
    <row r="34" spans="1:17" ht="15.75" x14ac:dyDescent="0.25">
      <c r="A34" s="6" t="s">
        <v>25</v>
      </c>
      <c r="B34" s="6" t="str">
        <f t="shared" ref="B34:B53" si="9">LEFT(A34,2)</f>
        <v>FD</v>
      </c>
      <c r="C34" s="6" t="str">
        <f t="shared" ref="C34:C53" si="10">VLOOKUP(B34,B$55:C$60,2)</f>
        <v>Ford</v>
      </c>
      <c r="D34" s="6" t="str">
        <f t="shared" ref="D34:D53" si="11">MID(A34,5,3)</f>
        <v>MTG</v>
      </c>
      <c r="E34" s="6" t="str">
        <f t="shared" ref="E34:E53" si="12">VLOOKUP(D34,D$55:E$65,2)</f>
        <v>Mustang</v>
      </c>
      <c r="F34" s="7" t="str">
        <f t="shared" ref="F34:F53" si="13">MID(A34,3,2)</f>
        <v>08</v>
      </c>
      <c r="G34" s="6">
        <f t="shared" ref="G34:G53" si="14">IF(26-F34&lt;0,100-F34+26,26-F34)</f>
        <v>18</v>
      </c>
      <c r="H34" s="6">
        <v>36438.5</v>
      </c>
      <c r="I34" s="8">
        <f t="shared" ref="I34:I53" si="15">H34/(G34+0.5)</f>
        <v>1969.6486486486488</v>
      </c>
      <c r="J34" s="6" t="s">
        <v>18</v>
      </c>
      <c r="K34" s="6" t="s">
        <v>16</v>
      </c>
      <c r="L34" s="6">
        <v>50000</v>
      </c>
      <c r="M34" s="6" t="str">
        <f t="shared" ref="M34:M53" si="16">IF(H34&lt;=L34,"Yes","Not Covered")</f>
        <v>Yes</v>
      </c>
      <c r="N34" s="6" t="str">
        <f t="shared" ref="N34:N53" si="17">CONCATENATE(B34,F34,D34,UPPER(LEFT(J34,3)),RIGHT(A34,3))</f>
        <v>FD08MTGWHI005</v>
      </c>
      <c r="O34" s="5"/>
      <c r="P34" s="5"/>
      <c r="Q34" s="5"/>
    </row>
    <row r="35" spans="1:17" ht="15.75" x14ac:dyDescent="0.25">
      <c r="A35" s="6" t="s">
        <v>14</v>
      </c>
      <c r="B35" s="6" t="str">
        <f t="shared" si="9"/>
        <v>FD</v>
      </c>
      <c r="C35" s="6" t="str">
        <f t="shared" si="10"/>
        <v>Ford</v>
      </c>
      <c r="D35" s="6" t="str">
        <f t="shared" si="11"/>
        <v>MTG</v>
      </c>
      <c r="E35" s="6" t="str">
        <f t="shared" si="12"/>
        <v>Mustang</v>
      </c>
      <c r="F35" s="7" t="str">
        <f t="shared" si="13"/>
        <v>06</v>
      </c>
      <c r="G35" s="6">
        <f t="shared" si="14"/>
        <v>20</v>
      </c>
      <c r="H35" s="6">
        <v>40326.800000000003</v>
      </c>
      <c r="I35" s="8">
        <f t="shared" si="15"/>
        <v>1967.1609756097562</v>
      </c>
      <c r="J35" s="6" t="s">
        <v>15</v>
      </c>
      <c r="K35" s="6" t="s">
        <v>16</v>
      </c>
      <c r="L35" s="6">
        <v>50000</v>
      </c>
      <c r="M35" s="6" t="str">
        <f t="shared" si="16"/>
        <v>Yes</v>
      </c>
      <c r="N35" s="6" t="str">
        <f t="shared" si="17"/>
        <v>FD06MTGBLA001</v>
      </c>
      <c r="O35" s="5"/>
      <c r="P35" s="5"/>
      <c r="Q35" s="5"/>
    </row>
    <row r="36" spans="1:17" ht="15.75" x14ac:dyDescent="0.25">
      <c r="A36" s="6" t="s">
        <v>44</v>
      </c>
      <c r="B36" s="6" t="str">
        <f t="shared" si="9"/>
        <v>GM</v>
      </c>
      <c r="C36" s="6" t="str">
        <f t="shared" si="10"/>
        <v>General Motors</v>
      </c>
      <c r="D36" s="6" t="str">
        <f t="shared" si="11"/>
        <v>SLV</v>
      </c>
      <c r="E36" s="6" t="str">
        <f t="shared" si="12"/>
        <v>Silverado</v>
      </c>
      <c r="F36" s="7" t="str">
        <f t="shared" si="13"/>
        <v>10</v>
      </c>
      <c r="G36" s="6">
        <f t="shared" si="14"/>
        <v>16</v>
      </c>
      <c r="H36" s="6">
        <v>31144.400000000001</v>
      </c>
      <c r="I36" s="8">
        <f t="shared" si="15"/>
        <v>1887.5393939393941</v>
      </c>
      <c r="J36" s="6" t="s">
        <v>15</v>
      </c>
      <c r="K36" s="6" t="s">
        <v>45</v>
      </c>
      <c r="L36" s="6">
        <v>100000</v>
      </c>
      <c r="M36" s="6" t="str">
        <f t="shared" si="16"/>
        <v>Yes</v>
      </c>
      <c r="N36" s="6" t="str">
        <f t="shared" si="17"/>
        <v>GM10SLVBLA017</v>
      </c>
      <c r="O36" s="5"/>
      <c r="P36" s="5"/>
      <c r="Q36" s="5"/>
    </row>
    <row r="37" spans="1:17" ht="15.75" x14ac:dyDescent="0.25">
      <c r="A37" s="6" t="s">
        <v>80</v>
      </c>
      <c r="B37" s="6" t="str">
        <f t="shared" si="9"/>
        <v>HY</v>
      </c>
      <c r="C37" s="6" t="str">
        <f t="shared" si="10"/>
        <v>Hyundai</v>
      </c>
      <c r="D37" s="6" t="str">
        <f t="shared" si="11"/>
        <v>ELA</v>
      </c>
      <c r="E37" s="6" t="str">
        <f t="shared" si="12"/>
        <v>Elantra</v>
      </c>
      <c r="F37" s="7" t="str">
        <f t="shared" si="13"/>
        <v>11</v>
      </c>
      <c r="G37" s="6">
        <f t="shared" si="14"/>
        <v>15</v>
      </c>
      <c r="H37" s="6">
        <v>29102.3</v>
      </c>
      <c r="I37" s="8">
        <f t="shared" si="15"/>
        <v>1877.5677419354838</v>
      </c>
      <c r="J37" s="6" t="s">
        <v>15</v>
      </c>
      <c r="K37" s="6" t="s">
        <v>43</v>
      </c>
      <c r="L37" s="6">
        <v>100000</v>
      </c>
      <c r="M37" s="6" t="str">
        <f t="shared" si="16"/>
        <v>Yes</v>
      </c>
      <c r="N37" s="6" t="str">
        <f t="shared" si="17"/>
        <v>HY11ELABLA049</v>
      </c>
      <c r="O37" s="5"/>
      <c r="P37" s="5"/>
      <c r="Q37" s="5"/>
    </row>
    <row r="38" spans="1:17" ht="15.75" x14ac:dyDescent="0.25">
      <c r="A38" s="6" t="s">
        <v>75</v>
      </c>
      <c r="B38" s="6" t="str">
        <f t="shared" si="9"/>
        <v>CR</v>
      </c>
      <c r="C38" s="6" t="str">
        <f t="shared" si="10"/>
        <v>Chrysler</v>
      </c>
      <c r="D38" s="6" t="str">
        <f t="shared" si="11"/>
        <v>PTC</v>
      </c>
      <c r="E38" s="6" t="str">
        <f t="shared" si="12"/>
        <v>PT Cruiser</v>
      </c>
      <c r="F38" s="7" t="str">
        <f t="shared" si="13"/>
        <v>11</v>
      </c>
      <c r="G38" s="6">
        <f t="shared" si="14"/>
        <v>15</v>
      </c>
      <c r="H38" s="6">
        <v>27394.2</v>
      </c>
      <c r="I38" s="8">
        <f t="shared" si="15"/>
        <v>1767.367741935484</v>
      </c>
      <c r="J38" s="6" t="s">
        <v>15</v>
      </c>
      <c r="K38" s="6" t="s">
        <v>36</v>
      </c>
      <c r="L38" s="6">
        <v>75000</v>
      </c>
      <c r="M38" s="6" t="str">
        <f t="shared" si="16"/>
        <v>Yes</v>
      </c>
      <c r="N38" s="6" t="str">
        <f t="shared" si="17"/>
        <v>CR11PTCBLA044</v>
      </c>
      <c r="O38" s="5"/>
      <c r="P38" s="5"/>
      <c r="Q38" s="5"/>
    </row>
    <row r="39" spans="1:17" ht="15.75" x14ac:dyDescent="0.25">
      <c r="A39" s="6" t="s">
        <v>68</v>
      </c>
      <c r="B39" s="6" t="str">
        <f t="shared" si="9"/>
        <v>HO</v>
      </c>
      <c r="C39" s="6" t="str">
        <f t="shared" si="10"/>
        <v>Honda</v>
      </c>
      <c r="D39" s="6" t="str">
        <f t="shared" si="11"/>
        <v>CIV</v>
      </c>
      <c r="E39" s="6" t="str">
        <f t="shared" si="12"/>
        <v>Civic</v>
      </c>
      <c r="F39" s="7" t="str">
        <f t="shared" si="13"/>
        <v>12</v>
      </c>
      <c r="G39" s="6">
        <f t="shared" si="14"/>
        <v>14</v>
      </c>
      <c r="H39" s="6">
        <v>24513.200000000001</v>
      </c>
      <c r="I39" s="8">
        <f t="shared" si="15"/>
        <v>1690.5655172413794</v>
      </c>
      <c r="J39" s="6" t="s">
        <v>15</v>
      </c>
      <c r="K39" s="6" t="s">
        <v>45</v>
      </c>
      <c r="L39" s="6">
        <v>75000</v>
      </c>
      <c r="M39" s="6" t="str">
        <f t="shared" si="16"/>
        <v>Yes</v>
      </c>
      <c r="N39" s="6" t="str">
        <f t="shared" si="17"/>
        <v>HO12CIVBLA035</v>
      </c>
      <c r="O39" s="5"/>
      <c r="P39" s="5"/>
      <c r="Q39" s="5"/>
    </row>
    <row r="40" spans="1:17" ht="15.75" x14ac:dyDescent="0.25">
      <c r="A40" s="6" t="s">
        <v>35</v>
      </c>
      <c r="B40" s="6" t="str">
        <f t="shared" si="9"/>
        <v>FD</v>
      </c>
      <c r="C40" s="6" t="str">
        <f t="shared" si="10"/>
        <v>Ford</v>
      </c>
      <c r="D40" s="6" t="str">
        <f t="shared" si="11"/>
        <v>FCS</v>
      </c>
      <c r="E40" s="6" t="str">
        <f t="shared" si="12"/>
        <v>Focus</v>
      </c>
      <c r="F40" s="7" t="str">
        <f t="shared" si="13"/>
        <v>13</v>
      </c>
      <c r="G40" s="6">
        <f t="shared" si="14"/>
        <v>13</v>
      </c>
      <c r="H40" s="6">
        <v>22521.599999999999</v>
      </c>
      <c r="I40" s="8">
        <f t="shared" si="15"/>
        <v>1668.2666666666667</v>
      </c>
      <c r="J40" s="6" t="s">
        <v>15</v>
      </c>
      <c r="K40" s="6" t="s">
        <v>36</v>
      </c>
      <c r="L40" s="6">
        <v>75000</v>
      </c>
      <c r="M40" s="6" t="str">
        <f t="shared" si="16"/>
        <v>Yes</v>
      </c>
      <c r="N40" s="6" t="str">
        <f t="shared" si="17"/>
        <v>FD13FCSBLA012</v>
      </c>
      <c r="O40" s="5"/>
      <c r="P40" s="5"/>
      <c r="Q40" s="5"/>
    </row>
    <row r="41" spans="1:17" ht="15.75" x14ac:dyDescent="0.25">
      <c r="A41" s="6" t="s">
        <v>83</v>
      </c>
      <c r="B41" s="6" t="str">
        <f t="shared" si="9"/>
        <v>HY</v>
      </c>
      <c r="C41" s="6" t="str">
        <f t="shared" si="10"/>
        <v>Hyundai</v>
      </c>
      <c r="D41" s="6" t="str">
        <f t="shared" si="11"/>
        <v>ELA</v>
      </c>
      <c r="E41" s="6" t="str">
        <f t="shared" si="12"/>
        <v>Elantra</v>
      </c>
      <c r="F41" s="7" t="str">
        <f t="shared" si="13"/>
        <v>13</v>
      </c>
      <c r="G41" s="6">
        <f t="shared" si="14"/>
        <v>13</v>
      </c>
      <c r="H41" s="6">
        <v>22188.5</v>
      </c>
      <c r="I41" s="8">
        <f t="shared" si="15"/>
        <v>1643.5925925925926</v>
      </c>
      <c r="J41" s="6" t="s">
        <v>48</v>
      </c>
      <c r="K41" s="6" t="s">
        <v>26</v>
      </c>
      <c r="L41" s="6">
        <v>100000</v>
      </c>
      <c r="M41" s="6" t="str">
        <f t="shared" si="16"/>
        <v>Yes</v>
      </c>
      <c r="N41" s="6" t="str">
        <f t="shared" si="17"/>
        <v>HY13ELABLU052</v>
      </c>
      <c r="O41" s="5"/>
      <c r="P41" s="5"/>
      <c r="Q41" s="5"/>
    </row>
    <row r="42" spans="1:17" ht="31.5" x14ac:dyDescent="0.25">
      <c r="A42" s="6" t="s">
        <v>120</v>
      </c>
      <c r="B42" s="6" t="str">
        <f t="shared" si="9"/>
        <v>GM</v>
      </c>
      <c r="C42" s="6" t="str">
        <f t="shared" si="10"/>
        <v>General Motors</v>
      </c>
      <c r="D42" s="6" t="str">
        <f t="shared" si="11"/>
        <v>CMR</v>
      </c>
      <c r="E42" s="6" t="str">
        <f t="shared" si="12"/>
        <v>Camero</v>
      </c>
      <c r="F42" s="7" t="str">
        <f t="shared" si="13"/>
        <v>09</v>
      </c>
      <c r="G42" s="6">
        <f t="shared" si="14"/>
        <v>17</v>
      </c>
      <c r="H42" s="6">
        <v>28464.799999999999</v>
      </c>
      <c r="I42" s="8">
        <f t="shared" si="15"/>
        <v>1626.56</v>
      </c>
      <c r="J42" s="6" t="s">
        <v>18</v>
      </c>
      <c r="K42" s="6" t="s">
        <v>39</v>
      </c>
      <c r="L42" s="6">
        <v>100000</v>
      </c>
      <c r="M42" s="6" t="str">
        <f t="shared" si="16"/>
        <v>Yes</v>
      </c>
      <c r="N42" s="6" t="str">
        <f t="shared" si="17"/>
        <v>GM09CMRWHI014</v>
      </c>
      <c r="O42" s="5"/>
      <c r="P42" s="5"/>
      <c r="Q42" s="5"/>
    </row>
    <row r="43" spans="1:17" ht="15.75" x14ac:dyDescent="0.25">
      <c r="A43" s="6" t="s">
        <v>81</v>
      </c>
      <c r="B43" s="6" t="str">
        <f t="shared" si="9"/>
        <v>HY</v>
      </c>
      <c r="C43" s="6" t="str">
        <f t="shared" si="10"/>
        <v>Hyundai</v>
      </c>
      <c r="D43" s="6" t="str">
        <f t="shared" si="11"/>
        <v>ELA</v>
      </c>
      <c r="E43" s="6" t="str">
        <f t="shared" si="12"/>
        <v>Elantra</v>
      </c>
      <c r="F43" s="7" t="str">
        <f t="shared" si="13"/>
        <v>12</v>
      </c>
      <c r="G43" s="6">
        <f t="shared" si="14"/>
        <v>14</v>
      </c>
      <c r="H43" s="6">
        <v>22282</v>
      </c>
      <c r="I43" s="8">
        <f t="shared" si="15"/>
        <v>1536.6896551724137</v>
      </c>
      <c r="J43" s="6" t="s">
        <v>48</v>
      </c>
      <c r="K43" s="6" t="s">
        <v>19</v>
      </c>
      <c r="L43" s="6">
        <v>100000</v>
      </c>
      <c r="M43" s="6" t="str">
        <f t="shared" si="16"/>
        <v>Yes</v>
      </c>
      <c r="N43" s="6" t="str">
        <f t="shared" si="17"/>
        <v>HY12ELABLU050</v>
      </c>
      <c r="O43" s="5"/>
      <c r="P43" s="5"/>
      <c r="Q43" s="5"/>
    </row>
    <row r="44" spans="1:17" ht="15.75" x14ac:dyDescent="0.25">
      <c r="A44" s="6" t="s">
        <v>62</v>
      </c>
      <c r="B44" s="6" t="str">
        <f t="shared" si="9"/>
        <v>TY</v>
      </c>
      <c r="C44" s="6" t="str">
        <f t="shared" si="10"/>
        <v>Toyota</v>
      </c>
      <c r="D44" s="6" t="str">
        <f t="shared" si="11"/>
        <v>CAM</v>
      </c>
      <c r="E44" s="6" t="str">
        <f t="shared" si="12"/>
        <v>Camry</v>
      </c>
      <c r="F44" s="7" t="str">
        <f t="shared" si="13"/>
        <v>12</v>
      </c>
      <c r="G44" s="6">
        <f t="shared" si="14"/>
        <v>14</v>
      </c>
      <c r="H44" s="6">
        <v>22128.2</v>
      </c>
      <c r="I44" s="8">
        <f t="shared" si="15"/>
        <v>1526.0827586206897</v>
      </c>
      <c r="J44" s="6" t="s">
        <v>48</v>
      </c>
      <c r="K44" s="6" t="s">
        <v>50</v>
      </c>
      <c r="L44" s="6">
        <v>100000</v>
      </c>
      <c r="M44" s="6" t="str">
        <f t="shared" si="16"/>
        <v>Yes</v>
      </c>
      <c r="N44" s="6" t="str">
        <f t="shared" si="17"/>
        <v>TY12CAMBLU029</v>
      </c>
      <c r="O44" s="5"/>
      <c r="P44" s="5"/>
      <c r="Q44" s="5"/>
    </row>
    <row r="45" spans="1:17" ht="15.75" x14ac:dyDescent="0.25">
      <c r="A45" s="6" t="s">
        <v>82</v>
      </c>
      <c r="B45" s="6" t="str">
        <f t="shared" si="9"/>
        <v>HY</v>
      </c>
      <c r="C45" s="6" t="str">
        <f t="shared" si="10"/>
        <v>Hyundai</v>
      </c>
      <c r="D45" s="6" t="str">
        <f t="shared" si="11"/>
        <v>ELA</v>
      </c>
      <c r="E45" s="6" t="str">
        <f t="shared" si="12"/>
        <v>Elantra</v>
      </c>
      <c r="F45" s="7" t="str">
        <f t="shared" si="13"/>
        <v>13</v>
      </c>
      <c r="G45" s="6">
        <f t="shared" si="14"/>
        <v>13</v>
      </c>
      <c r="H45" s="6">
        <v>20223.900000000001</v>
      </c>
      <c r="I45" s="8">
        <f t="shared" si="15"/>
        <v>1498.0666666666668</v>
      </c>
      <c r="J45" s="6" t="s">
        <v>15</v>
      </c>
      <c r="K45" s="6" t="s">
        <v>32</v>
      </c>
      <c r="L45" s="6">
        <v>100000</v>
      </c>
      <c r="M45" s="6" t="str">
        <f t="shared" si="16"/>
        <v>Yes</v>
      </c>
      <c r="N45" s="6" t="str">
        <f t="shared" si="17"/>
        <v>HY13ELABLA051</v>
      </c>
      <c r="O45" s="5"/>
      <c r="P45" s="5"/>
      <c r="Q45" s="5"/>
    </row>
    <row r="46" spans="1:17" ht="15.75" x14ac:dyDescent="0.25">
      <c r="A46" s="6" t="s">
        <v>60</v>
      </c>
      <c r="B46" s="6" t="str">
        <f t="shared" si="9"/>
        <v>TY</v>
      </c>
      <c r="C46" s="6" t="str">
        <f t="shared" si="10"/>
        <v>Toyota</v>
      </c>
      <c r="D46" s="6" t="str">
        <f t="shared" si="11"/>
        <v>COR</v>
      </c>
      <c r="E46" s="6" t="str">
        <f t="shared" si="12"/>
        <v>Corolla</v>
      </c>
      <c r="F46" s="7" t="str">
        <f t="shared" si="13"/>
        <v>14</v>
      </c>
      <c r="G46" s="6">
        <f t="shared" si="14"/>
        <v>12</v>
      </c>
      <c r="H46" s="6">
        <v>17556.3</v>
      </c>
      <c r="I46" s="8">
        <f t="shared" si="15"/>
        <v>1404.5039999999999</v>
      </c>
      <c r="J46" s="6" t="s">
        <v>48</v>
      </c>
      <c r="K46" s="6" t="s">
        <v>32</v>
      </c>
      <c r="L46" s="6">
        <v>100000</v>
      </c>
      <c r="M46" s="6" t="str">
        <f t="shared" si="16"/>
        <v>Yes</v>
      </c>
      <c r="N46" s="6" t="str">
        <f t="shared" si="17"/>
        <v>TY14CORBLU027</v>
      </c>
      <c r="O46" s="5"/>
      <c r="P46" s="5"/>
      <c r="Q46" s="5"/>
    </row>
    <row r="47" spans="1:17" ht="15.75" x14ac:dyDescent="0.25">
      <c r="A47" s="6" t="s">
        <v>65</v>
      </c>
      <c r="B47" s="6" t="str">
        <f t="shared" si="9"/>
        <v>HO</v>
      </c>
      <c r="C47" s="6" t="str">
        <f t="shared" si="10"/>
        <v>Honda</v>
      </c>
      <c r="D47" s="6" t="str">
        <f t="shared" si="11"/>
        <v>CIV</v>
      </c>
      <c r="E47" s="6" t="str">
        <f t="shared" si="12"/>
        <v>Civic</v>
      </c>
      <c r="F47" s="7" t="str">
        <f t="shared" si="13"/>
        <v>10</v>
      </c>
      <c r="G47" s="6">
        <f t="shared" si="14"/>
        <v>16</v>
      </c>
      <c r="H47" s="6">
        <v>22573</v>
      </c>
      <c r="I47" s="8">
        <f t="shared" si="15"/>
        <v>1368.060606060606</v>
      </c>
      <c r="J47" s="6" t="s">
        <v>48</v>
      </c>
      <c r="K47" s="6" t="s">
        <v>43</v>
      </c>
      <c r="L47" s="6">
        <v>75000</v>
      </c>
      <c r="M47" s="6" t="str">
        <f t="shared" si="16"/>
        <v>Yes</v>
      </c>
      <c r="N47" s="6" t="str">
        <f t="shared" si="17"/>
        <v>HO10CIVBLU032</v>
      </c>
      <c r="O47" s="5"/>
      <c r="P47" s="5"/>
      <c r="Q47" s="5"/>
    </row>
    <row r="48" spans="1:17" ht="31.5" x14ac:dyDescent="0.25">
      <c r="A48" s="6" t="s">
        <v>40</v>
      </c>
      <c r="B48" s="6" t="str">
        <f t="shared" si="9"/>
        <v>GM</v>
      </c>
      <c r="C48" s="6" t="str">
        <f t="shared" si="10"/>
        <v>General Motors</v>
      </c>
      <c r="D48" s="6" t="str">
        <f t="shared" si="11"/>
        <v>CMR</v>
      </c>
      <c r="E48" s="6" t="str">
        <f t="shared" si="12"/>
        <v>Camero</v>
      </c>
      <c r="F48" s="7" t="str">
        <f t="shared" si="13"/>
        <v>12</v>
      </c>
      <c r="G48" s="6">
        <f t="shared" si="14"/>
        <v>14</v>
      </c>
      <c r="H48" s="6">
        <v>19421.099999999999</v>
      </c>
      <c r="I48" s="8">
        <f t="shared" si="15"/>
        <v>1339.3862068965516</v>
      </c>
      <c r="J48" s="6" t="s">
        <v>15</v>
      </c>
      <c r="K48" s="6" t="s">
        <v>41</v>
      </c>
      <c r="L48" s="6">
        <v>100000</v>
      </c>
      <c r="M48" s="6" t="str">
        <f t="shared" si="16"/>
        <v>Yes</v>
      </c>
      <c r="N48" s="6" t="str">
        <f t="shared" si="17"/>
        <v>GM12CMRBLA015</v>
      </c>
      <c r="O48" s="5"/>
      <c r="P48" s="5"/>
      <c r="Q48" s="5"/>
    </row>
    <row r="49" spans="1:17" ht="15.75" x14ac:dyDescent="0.25">
      <c r="A49" s="6" t="s">
        <v>33</v>
      </c>
      <c r="B49" s="6" t="str">
        <f t="shared" si="9"/>
        <v>FD</v>
      </c>
      <c r="C49" s="6" t="str">
        <f t="shared" si="10"/>
        <v>Ford</v>
      </c>
      <c r="D49" s="6" t="str">
        <f t="shared" si="11"/>
        <v>FCS</v>
      </c>
      <c r="E49" s="6" t="str">
        <f t="shared" si="12"/>
        <v>Focus</v>
      </c>
      <c r="F49" s="7" t="str">
        <f t="shared" si="13"/>
        <v>12</v>
      </c>
      <c r="G49" s="6">
        <f t="shared" si="14"/>
        <v>14</v>
      </c>
      <c r="H49" s="6">
        <v>19341.7</v>
      </c>
      <c r="I49" s="8">
        <f t="shared" si="15"/>
        <v>1333.9103448275862</v>
      </c>
      <c r="J49" s="6" t="s">
        <v>18</v>
      </c>
      <c r="K49" s="6" t="s">
        <v>34</v>
      </c>
      <c r="L49" s="6">
        <v>75000</v>
      </c>
      <c r="M49" s="6" t="str">
        <f t="shared" si="16"/>
        <v>Yes</v>
      </c>
      <c r="N49" s="6" t="str">
        <f t="shared" si="17"/>
        <v>FD12FCSWHI011</v>
      </c>
      <c r="O49" s="5"/>
      <c r="P49" s="5"/>
      <c r="Q49" s="5"/>
    </row>
    <row r="50" spans="1:17" ht="31.5" x14ac:dyDescent="0.25">
      <c r="A50" s="6" t="s">
        <v>42</v>
      </c>
      <c r="B50" s="6" t="str">
        <f t="shared" si="9"/>
        <v>GM</v>
      </c>
      <c r="C50" s="6" t="str">
        <f t="shared" si="10"/>
        <v>General Motors</v>
      </c>
      <c r="D50" s="6" t="str">
        <f t="shared" si="11"/>
        <v>CMR</v>
      </c>
      <c r="E50" s="6" t="str">
        <f t="shared" si="12"/>
        <v>Camero</v>
      </c>
      <c r="F50" s="7" t="str">
        <f t="shared" si="13"/>
        <v>14</v>
      </c>
      <c r="G50" s="6">
        <f t="shared" si="14"/>
        <v>12</v>
      </c>
      <c r="H50" s="6">
        <v>14289.6</v>
      </c>
      <c r="I50" s="8">
        <f t="shared" si="15"/>
        <v>1143.1680000000001</v>
      </c>
      <c r="J50" s="6" t="s">
        <v>18</v>
      </c>
      <c r="K50" s="6" t="s">
        <v>43</v>
      </c>
      <c r="L50" s="6">
        <v>100000</v>
      </c>
      <c r="M50" s="6" t="str">
        <f t="shared" si="16"/>
        <v>Yes</v>
      </c>
      <c r="N50" s="6" t="str">
        <f t="shared" si="17"/>
        <v>GM14CMRWHI016</v>
      </c>
      <c r="O50" s="5"/>
      <c r="P50" s="5"/>
      <c r="Q50" s="5"/>
    </row>
    <row r="51" spans="1:17" ht="15.75" x14ac:dyDescent="0.25">
      <c r="A51" s="6" t="s">
        <v>69</v>
      </c>
      <c r="B51" s="6" t="str">
        <f t="shared" si="9"/>
        <v>HO</v>
      </c>
      <c r="C51" s="6" t="str">
        <f t="shared" si="10"/>
        <v>Honda</v>
      </c>
      <c r="D51" s="6" t="str">
        <f t="shared" si="11"/>
        <v>CIV</v>
      </c>
      <c r="E51" s="6" t="str">
        <f t="shared" si="12"/>
        <v>Civic</v>
      </c>
      <c r="F51" s="7" t="str">
        <f t="shared" si="13"/>
        <v>13</v>
      </c>
      <c r="G51" s="6">
        <f t="shared" si="14"/>
        <v>13</v>
      </c>
      <c r="H51" s="6">
        <v>13867.6</v>
      </c>
      <c r="I51" s="8">
        <f t="shared" si="15"/>
        <v>1027.2296296296297</v>
      </c>
      <c r="J51" s="6" t="s">
        <v>15</v>
      </c>
      <c r="K51" s="6" t="s">
        <v>50</v>
      </c>
      <c r="L51" s="6">
        <v>75000</v>
      </c>
      <c r="M51" s="6" t="str">
        <f t="shared" si="16"/>
        <v>Yes</v>
      </c>
      <c r="N51" s="6" t="str">
        <f t="shared" si="17"/>
        <v>HO13CIVBLA036</v>
      </c>
      <c r="O51" s="5"/>
      <c r="P51" s="5"/>
      <c r="Q51" s="5"/>
    </row>
    <row r="52" spans="1:17" ht="15.75" x14ac:dyDescent="0.25">
      <c r="A52" s="6" t="s">
        <v>37</v>
      </c>
      <c r="B52" s="6" t="str">
        <f t="shared" si="9"/>
        <v>FD</v>
      </c>
      <c r="C52" s="6" t="str">
        <f t="shared" si="10"/>
        <v>Ford</v>
      </c>
      <c r="D52" s="6" t="str">
        <f t="shared" si="11"/>
        <v>FCS</v>
      </c>
      <c r="E52" s="6" t="str">
        <f t="shared" si="12"/>
        <v>Focus</v>
      </c>
      <c r="F52" s="7" t="str">
        <f t="shared" si="13"/>
        <v>13</v>
      </c>
      <c r="G52" s="6">
        <f t="shared" si="14"/>
        <v>13</v>
      </c>
      <c r="H52" s="6">
        <v>13682.9</v>
      </c>
      <c r="I52" s="8">
        <f t="shared" si="15"/>
        <v>1013.5481481481481</v>
      </c>
      <c r="J52" s="6" t="s">
        <v>15</v>
      </c>
      <c r="K52" s="6" t="s">
        <v>38</v>
      </c>
      <c r="L52" s="6">
        <v>75000</v>
      </c>
      <c r="M52" s="6" t="str">
        <f t="shared" si="16"/>
        <v>Yes</v>
      </c>
      <c r="N52" s="6" t="str">
        <f t="shared" si="17"/>
        <v>FD13FCSBLA013</v>
      </c>
      <c r="O52" s="5"/>
      <c r="P52" s="5"/>
      <c r="Q52" s="5"/>
    </row>
    <row r="53" spans="1:17" ht="31.5" x14ac:dyDescent="0.25">
      <c r="A53" s="6" t="s">
        <v>72</v>
      </c>
      <c r="B53" s="6" t="str">
        <f t="shared" si="9"/>
        <v>HO</v>
      </c>
      <c r="C53" s="6" t="str">
        <f t="shared" si="10"/>
        <v>Honda</v>
      </c>
      <c r="D53" s="6" t="str">
        <f t="shared" si="11"/>
        <v>ODY</v>
      </c>
      <c r="E53" s="6" t="str">
        <f t="shared" si="12"/>
        <v>Odyssey</v>
      </c>
      <c r="F53" s="7" t="str">
        <f t="shared" si="13"/>
        <v>14</v>
      </c>
      <c r="G53" s="6">
        <f t="shared" si="14"/>
        <v>12</v>
      </c>
      <c r="H53" s="6">
        <v>3708.1</v>
      </c>
      <c r="I53" s="8">
        <f t="shared" si="15"/>
        <v>296.64799999999997</v>
      </c>
      <c r="J53" s="6" t="s">
        <v>15</v>
      </c>
      <c r="K53" s="6" t="s">
        <v>19</v>
      </c>
      <c r="L53" s="6">
        <v>100000</v>
      </c>
      <c r="M53" s="6" t="str">
        <f t="shared" si="16"/>
        <v>Yes</v>
      </c>
      <c r="N53" s="6" t="str">
        <f t="shared" si="17"/>
        <v>HO14ODYBLA041</v>
      </c>
      <c r="O53" s="5"/>
      <c r="P53" s="5"/>
      <c r="Q53" s="5"/>
    </row>
    <row r="54" spans="1:17" ht="15.7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"/>
      <c r="N54" s="6"/>
      <c r="O54" s="5"/>
      <c r="P54" s="5"/>
      <c r="Q54" s="5"/>
    </row>
    <row r="55" spans="1:17" ht="15.75" x14ac:dyDescent="0.25">
      <c r="A55" s="10" t="s">
        <v>122</v>
      </c>
      <c r="B55" s="11" t="s">
        <v>84</v>
      </c>
      <c r="C55" s="11" t="s">
        <v>90</v>
      </c>
      <c r="D55" s="12" t="s">
        <v>96</v>
      </c>
      <c r="E55" s="12" t="s">
        <v>97</v>
      </c>
      <c r="F55" s="9"/>
      <c r="G55" s="9"/>
      <c r="H55" s="9"/>
      <c r="I55" s="9"/>
      <c r="J55" s="9"/>
      <c r="K55" s="9"/>
      <c r="L55" s="9"/>
      <c r="M55" s="6"/>
      <c r="N55" s="6"/>
      <c r="O55" s="5"/>
      <c r="P55" s="5"/>
      <c r="Q55" s="5"/>
    </row>
    <row r="56" spans="1:17" ht="15.75" x14ac:dyDescent="0.25">
      <c r="A56" s="13"/>
      <c r="B56" s="11" t="s">
        <v>89</v>
      </c>
      <c r="C56" s="11" t="s">
        <v>95</v>
      </c>
      <c r="D56" s="12" t="s">
        <v>103</v>
      </c>
      <c r="E56" s="12" t="s">
        <v>112</v>
      </c>
      <c r="F56" s="9"/>
      <c r="G56" s="9"/>
      <c r="H56" s="9"/>
      <c r="I56" s="9"/>
      <c r="J56" s="9"/>
      <c r="K56" s="9"/>
      <c r="L56" s="9"/>
      <c r="M56" s="6"/>
      <c r="N56" s="6"/>
      <c r="O56" s="5"/>
      <c r="P56" s="5"/>
      <c r="Q56" s="5"/>
    </row>
    <row r="57" spans="1:17" ht="15.75" x14ac:dyDescent="0.25">
      <c r="A57" s="13"/>
      <c r="B57" s="11" t="s">
        <v>88</v>
      </c>
      <c r="C57" s="11" t="s">
        <v>93</v>
      </c>
      <c r="D57" s="12" t="s">
        <v>104</v>
      </c>
      <c r="E57" s="12" t="s">
        <v>113</v>
      </c>
      <c r="F57" s="9"/>
      <c r="G57" s="9"/>
      <c r="H57" s="9"/>
      <c r="I57" s="9"/>
      <c r="J57" s="9"/>
      <c r="K57" s="9"/>
      <c r="L57" s="9"/>
      <c r="M57" s="6"/>
      <c r="N57" s="6"/>
      <c r="O57" s="5"/>
      <c r="P57" s="5"/>
      <c r="Q57" s="5"/>
    </row>
    <row r="58" spans="1:17" ht="15.75" x14ac:dyDescent="0.25">
      <c r="A58" s="13"/>
      <c r="B58" s="11" t="s">
        <v>87</v>
      </c>
      <c r="C58" s="11" t="s">
        <v>92</v>
      </c>
      <c r="D58" s="12" t="s">
        <v>101</v>
      </c>
      <c r="E58" s="12" t="s">
        <v>110</v>
      </c>
      <c r="F58" s="9"/>
      <c r="G58" s="9"/>
      <c r="H58" s="9"/>
      <c r="I58" s="9"/>
      <c r="J58" s="9"/>
      <c r="K58" s="9"/>
      <c r="L58" s="9"/>
      <c r="M58" s="6"/>
      <c r="N58" s="6"/>
      <c r="O58" s="5"/>
      <c r="P58" s="5"/>
      <c r="Q58" s="5"/>
    </row>
    <row r="59" spans="1:17" ht="15.75" x14ac:dyDescent="0.25">
      <c r="A59" s="13"/>
      <c r="B59" s="11" t="s">
        <v>85</v>
      </c>
      <c r="C59" s="11" t="s">
        <v>94</v>
      </c>
      <c r="D59" s="12" t="s">
        <v>102</v>
      </c>
      <c r="E59" s="12" t="s">
        <v>111</v>
      </c>
      <c r="F59" s="9"/>
      <c r="G59" s="9"/>
      <c r="H59" s="9"/>
      <c r="I59" s="9"/>
      <c r="J59" s="9"/>
      <c r="K59" s="9"/>
      <c r="L59" s="9"/>
      <c r="M59" s="6"/>
      <c r="N59" s="6"/>
      <c r="O59" s="5"/>
      <c r="P59" s="5"/>
      <c r="Q59" s="5"/>
    </row>
    <row r="60" spans="1:17" ht="15.75" x14ac:dyDescent="0.25">
      <c r="A60" s="13"/>
      <c r="B60" s="11" t="s">
        <v>86</v>
      </c>
      <c r="C60" s="11" t="s">
        <v>91</v>
      </c>
      <c r="D60" s="12" t="s">
        <v>98</v>
      </c>
      <c r="E60" s="12" t="s">
        <v>99</v>
      </c>
      <c r="F60" s="9"/>
      <c r="G60" s="9"/>
      <c r="H60" s="9"/>
      <c r="I60" s="9"/>
      <c r="J60" s="9"/>
      <c r="K60" s="9"/>
      <c r="L60" s="9"/>
      <c r="M60" s="6"/>
      <c r="N60" s="6"/>
      <c r="O60" s="5"/>
      <c r="P60" s="5"/>
      <c r="Q60" s="5"/>
    </row>
    <row r="61" spans="1:17" ht="15.75" x14ac:dyDescent="0.25">
      <c r="A61" s="13"/>
      <c r="B61" s="11"/>
      <c r="C61" s="11"/>
      <c r="D61" s="12" t="s">
        <v>100</v>
      </c>
      <c r="E61" s="12" t="s">
        <v>109</v>
      </c>
      <c r="F61" s="9"/>
      <c r="G61" s="9"/>
      <c r="H61" s="9"/>
      <c r="I61" s="9"/>
      <c r="J61" s="9"/>
      <c r="K61" s="9"/>
      <c r="L61" s="9"/>
      <c r="M61" s="6"/>
      <c r="N61" s="6"/>
      <c r="O61" s="5"/>
      <c r="P61" s="5"/>
      <c r="Q61" s="5"/>
    </row>
    <row r="62" spans="1:17" ht="15.75" x14ac:dyDescent="0.25">
      <c r="A62" s="13"/>
      <c r="B62" s="11"/>
      <c r="C62" s="11"/>
      <c r="D62" s="12" t="s">
        <v>105</v>
      </c>
      <c r="E62" s="12" t="s">
        <v>114</v>
      </c>
      <c r="F62" s="9"/>
      <c r="G62" s="9"/>
      <c r="H62" s="9"/>
      <c r="I62" s="9"/>
      <c r="J62" s="9"/>
      <c r="K62" s="9"/>
      <c r="L62" s="9"/>
      <c r="M62" s="6"/>
      <c r="N62" s="6"/>
      <c r="O62" s="5"/>
      <c r="P62" s="5"/>
      <c r="Q62" s="5"/>
    </row>
    <row r="63" spans="1:17" ht="15.75" x14ac:dyDescent="0.25">
      <c r="A63" s="13"/>
      <c r="B63" s="11"/>
      <c r="C63" s="11"/>
      <c r="D63" s="12" t="s">
        <v>106</v>
      </c>
      <c r="E63" s="12" t="s">
        <v>115</v>
      </c>
      <c r="F63" s="9"/>
      <c r="G63" s="9"/>
      <c r="H63" s="9"/>
      <c r="I63" s="9"/>
      <c r="J63" s="9"/>
      <c r="K63" s="9"/>
      <c r="L63" s="9"/>
      <c r="M63" s="6"/>
      <c r="N63" s="6"/>
      <c r="O63" s="5"/>
      <c r="P63" s="5"/>
      <c r="Q63" s="5"/>
    </row>
    <row r="64" spans="1:17" ht="15.75" x14ac:dyDescent="0.25">
      <c r="A64" s="13"/>
      <c r="B64" s="11"/>
      <c r="C64" s="11"/>
      <c r="D64" s="12" t="s">
        <v>107</v>
      </c>
      <c r="E64" s="12" t="s">
        <v>116</v>
      </c>
      <c r="F64" s="9"/>
      <c r="G64" s="9"/>
      <c r="H64" s="9"/>
      <c r="I64" s="9"/>
      <c r="J64" s="9"/>
      <c r="K64" s="9"/>
      <c r="L64" s="9"/>
      <c r="M64" s="6"/>
      <c r="N64" s="6"/>
      <c r="O64" s="5"/>
      <c r="P64" s="5"/>
      <c r="Q64" s="5"/>
    </row>
    <row r="65" spans="1:17" ht="15.75" x14ac:dyDescent="0.25">
      <c r="A65" s="13"/>
      <c r="B65" s="11"/>
      <c r="C65" s="11"/>
      <c r="D65" s="12" t="s">
        <v>108</v>
      </c>
      <c r="E65" s="12" t="s">
        <v>117</v>
      </c>
      <c r="F65" s="9"/>
      <c r="G65" s="9"/>
      <c r="H65" s="9"/>
      <c r="I65" s="9"/>
      <c r="J65" s="9"/>
      <c r="K65" s="9"/>
      <c r="L65" s="9"/>
      <c r="M65" s="6"/>
      <c r="N65" s="6"/>
      <c r="O65" s="5"/>
      <c r="P65" s="5"/>
      <c r="Q65" s="5"/>
    </row>
    <row r="66" spans="1:17" ht="15.7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"/>
      <c r="N66" s="6"/>
      <c r="O66" s="5"/>
      <c r="P66" s="5"/>
      <c r="Q66" s="5"/>
    </row>
    <row r="67" spans="1:17" ht="15.7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"/>
      <c r="N67" s="6"/>
      <c r="O67" s="5"/>
      <c r="P67" s="5"/>
      <c r="Q67" s="5"/>
    </row>
    <row r="68" spans="1:17" ht="15.7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"/>
      <c r="N68" s="6"/>
      <c r="O68" s="5"/>
      <c r="P68" s="5"/>
      <c r="Q68" s="5"/>
    </row>
    <row r="69" spans="1:17" ht="15.7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"/>
      <c r="N69" s="6"/>
      <c r="O69" s="5"/>
      <c r="P69" s="5"/>
      <c r="Q69" s="5"/>
    </row>
    <row r="70" spans="1:17" ht="15.7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"/>
      <c r="N70" s="6"/>
      <c r="O70" s="5"/>
      <c r="P70" s="5"/>
      <c r="Q70" s="5"/>
    </row>
    <row r="71" spans="1:17" ht="15.7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5"/>
      <c r="P71" s="5"/>
      <c r="Q71" s="5"/>
    </row>
    <row r="72" spans="1:17" ht="15.7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5"/>
      <c r="P72" s="5"/>
      <c r="Q72" s="5"/>
    </row>
  </sheetData>
  <sortState xmlns:xlrd2="http://schemas.microsoft.com/office/spreadsheetml/2017/richdata2" ref="A2:O53">
    <sortCondition descending="1" ref="I2:I53"/>
  </sortState>
  <conditionalFormatting sqref="I2:I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&amp; Charts</vt:lpstr>
      <vt:lpstr>car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signa</dc:creator>
  <cp:lastModifiedBy>Alexis Arvay</cp:lastModifiedBy>
  <cp:lastPrinted>2026-06-14T09:19:22Z</cp:lastPrinted>
  <dcterms:created xsi:type="dcterms:W3CDTF">2026-05-31T06:03:41Z</dcterms:created>
  <dcterms:modified xsi:type="dcterms:W3CDTF">2026-06-14T09:20:43Z</dcterms:modified>
</cp:coreProperties>
</file>